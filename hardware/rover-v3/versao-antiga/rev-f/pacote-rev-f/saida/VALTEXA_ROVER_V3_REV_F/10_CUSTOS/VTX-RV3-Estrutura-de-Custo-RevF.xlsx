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sumo" sheetId="1" state="visible" r:id="rId1"/>
    <sheet xmlns:r="http://schemas.openxmlformats.org/officeDocument/2006/relationships" name="1 Material" sheetId="2" state="visible" r:id="rId2"/>
    <sheet xmlns:r="http://schemas.openxmlformats.org/officeDocument/2006/relationships" name="2 Fabricação" sheetId="3" state="visible" r:id="rId3"/>
    <sheet xmlns:r="http://schemas.openxmlformats.org/officeDocument/2006/relationships" name="3 Componentes" sheetId="4" state="visible" r:id="rId4"/>
    <sheet xmlns:r="http://schemas.openxmlformats.org/officeDocument/2006/relationships" name="4 Base e poste" sheetId="5" state="visible" r:id="rId5"/>
    <sheet xmlns:r="http://schemas.openxmlformats.org/officeDocument/2006/relationships" name="5 Preços recebidos" sheetId="6" state="visible" r:id="rId6"/>
    <sheet xmlns:r="http://schemas.openxmlformats.org/officeDocument/2006/relationships" name="6 Concili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  <font>
      <i val="1"/>
      <sz val="9"/>
    </font>
    <font>
      <b val="1"/>
      <sz val="9"/>
    </font>
    <font>
      <b val="1"/>
      <color rgb="00A4291F"/>
    </font>
    <font>
      <i val="1"/>
      <color rgb="0086877A"/>
    </font>
    <font>
      <i val="1"/>
      <color rgb="00A4291F"/>
      <sz val="9"/>
    </font>
    <font>
      <b val="1"/>
      <sz val="12"/>
    </font>
    <font>
      <b val="1"/>
      <color rgb="008A6414"/>
    </font>
    <font>
      <b val="1"/>
      <color rgb="0022526D"/>
    </font>
    <font>
      <b val="1"/>
      <color rgb="0086877A"/>
    </font>
    <font>
      <b val="1"/>
      <sz val="11"/>
    </font>
    <font>
      <b val="1"/>
      <sz val="14"/>
    </font>
    <font>
      <b val="1"/>
      <color rgb="00FFFFFF"/>
    </font>
    <font>
      <color rgb="00A4291F"/>
    </font>
    <font>
      <sz val="9"/>
    </font>
  </fonts>
  <fills count="5">
    <fill>
      <patternFill/>
    </fill>
    <fill>
      <patternFill patternType="gray125"/>
    </fill>
    <fill>
      <patternFill patternType="solid">
        <fgColor rgb="001F6B3A"/>
      </patternFill>
    </fill>
    <fill>
      <patternFill patternType="solid">
        <fgColor rgb="00F2F1EC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bottom style="thin">
        <color rgb="00D8D6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15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2" fillId="3" borderId="0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164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VALTEXA ROVER V3 — ESTRUTURA DE CUSTO</t>
        </is>
      </c>
    </row>
    <row r="2">
      <c r="A2" s="2" t="inlineStr">
        <is>
          <t>Rev E · 21/09/2026 · preços de compra recebidos (abas 5 e 6); serviços de fabricação ainda a cotar nas células amarelas</t>
        </is>
      </c>
    </row>
    <row r="4">
      <c r="A4" s="3" t="inlineStr">
        <is>
          <t>Bloco</t>
        </is>
      </c>
      <c r="B4" s="3" t="inlineStr">
        <is>
          <t>Total por conjunto (R$)</t>
        </is>
      </c>
      <c r="C4" s="3" t="inlineStr">
        <is>
          <t>O que falta para fechar</t>
        </is>
      </c>
    </row>
    <row r="5">
      <c r="A5" t="inlineStr">
        <is>
          <t>1 · Matéria-prima (alumínio, PC, UHMW)</t>
        </is>
      </c>
      <c r="B5" s="4">
        <f>'1 Material'!G46</f>
        <v/>
      </c>
      <c r="C5" t="inlineStr">
        <is>
          <t>Preço do alumínio por kg ou por barra/chapa</t>
        </is>
      </c>
    </row>
    <row r="6">
      <c r="A6" t="inlineStr">
        <is>
          <t>2 · Serviços de fabricação</t>
        </is>
      </c>
      <c r="B6" s="4">
        <f>'2 Fabricação'!G14</f>
        <v/>
      </c>
      <c r="C6" t="inlineStr">
        <is>
          <t>Cotação de corte, dobra, usinagem, solda e acabamento</t>
        </is>
      </c>
    </row>
    <row r="7">
      <c r="A7" t="inlineStr">
        <is>
          <t>3 · Componentes comprados</t>
        </is>
      </c>
      <c r="B7" s="4">
        <f>'3 Componentes'!H22</f>
        <v/>
      </c>
      <c r="C7" t="inlineStr">
        <is>
          <t>Preço de motor-roda, LiDAR, Jetson, GNSS, IMU e células</t>
        </is>
      </c>
    </row>
    <row r="8">
      <c r="A8" t="inlineStr">
        <is>
          <t>4 · Base de recarga e poste</t>
        </is>
      </c>
      <c r="B8" s="4" t="inlineStr">
        <is>
          <t>sem projeto</t>
        </is>
      </c>
      <c r="C8" t="inlineStr">
        <is>
          <t>Conceito, sem dimensão nem quantidade — ver pasta 09</t>
        </is>
      </c>
    </row>
    <row r="9">
      <c r="A9" t="inlineStr">
        <is>
          <t>TOTAL DO ROVER (1 conjunto)</t>
        </is>
      </c>
      <c r="B9" s="4">
        <f>IF(COUNT(B5:B7)=3,SUM(B5:B7),"ver aba 5")</f>
        <v/>
      </c>
      <c r="C9" t="inlineStr"/>
    </row>
    <row r="10">
      <c r="B10" s="4" t="n"/>
    </row>
    <row r="11">
      <c r="A11" s="5" t="inlineStr">
        <is>
          <t>CUSTO CONHECIDO — planilha de compras recebida em 21/09/2026</t>
        </is>
      </c>
      <c r="B11" s="4" t="inlineStr"/>
      <c r="C11" t="inlineStr"/>
    </row>
    <row r="12">
      <c r="A12" t="inlineStr">
        <is>
          <t>Produtos (nacional + importado, sem imposto)</t>
        </is>
      </c>
      <c r="B12" s="4" t="n">
        <v>93995.28</v>
      </c>
      <c r="C12" t="inlineStr">
        <is>
          <t>Aba 5 · transcrição da BOM de compras</t>
        </is>
      </c>
    </row>
    <row r="13">
      <c r="A13" t="inlineStr">
        <is>
          <t>Posto em Pouso Alegre (importado × 2,0)</t>
        </is>
      </c>
      <c r="B13" s="4" t="n">
        <v>161061.4</v>
      </c>
      <c r="C13" t="inlineStr">
        <is>
          <t>Multiplicador estimado na planilha de origem</t>
        </is>
      </c>
    </row>
    <row r="14">
      <c r="A14" t="inlineStr">
        <is>
          <t>Cenário mínimo</t>
        </is>
      </c>
      <c r="B14" s="4" t="n">
        <v>83249.28999999999</v>
      </c>
      <c r="C14" t="inlineStr">
        <is>
          <t>MÍNIMO (alternativas baratas: VESC, BMI088, célula 100 Ah)</t>
        </is>
      </c>
    </row>
    <row r="15">
      <c r="A15" t="inlineStr">
        <is>
          <t>Cenário máximo</t>
        </is>
      </c>
      <c r="B15" s="4" t="n">
        <v>228153.2</v>
      </c>
      <c r="C15" t="inlineStr">
        <is>
          <t>MÁXIMO (ElectroCraft com freio, reComputer, Jetson kit)</t>
        </is>
      </c>
    </row>
    <row r="16">
      <c r="A16" s="5" t="inlineStr">
        <is>
          <t>Estrutura mecânica dentro desse total</t>
        </is>
      </c>
      <c r="B16" s="6" t="n">
        <v>2585.01</v>
      </c>
      <c r="C16" s="5" t="inlineStr">
        <is>
          <t>Apenas 2,8 % — ver aba 6: faltam material e serviços</t>
        </is>
      </c>
    </row>
    <row r="18">
      <c r="A18" s="5" t="inlineStr">
        <is>
          <t>Quantidades que já estão fechadas</t>
        </is>
      </c>
      <c r="B18" t="inlineStr"/>
      <c r="C18" t="inlineStr"/>
    </row>
    <row r="19">
      <c r="A19" t="inlineStr">
        <is>
          <t>Códigos de peça fabricada</t>
        </is>
      </c>
      <c r="B19" t="n">
        <v>45</v>
      </c>
      <c r="C19" t="inlineStr">
        <is>
          <t>Somando 183 peças por conjunto</t>
        </is>
      </c>
    </row>
    <row r="20">
      <c r="A20" t="inlineStr">
        <is>
          <t>Massa de peça pronta</t>
        </is>
      </c>
      <c r="B20" t="inlineStr">
        <is>
          <t>25.92 kg</t>
        </is>
      </c>
      <c r="C20" t="inlineStr">
        <is>
          <t>Alumínio, policarbonato e UHMW-PE</t>
        </is>
      </c>
    </row>
    <row r="21">
      <c r="A21" t="inlineStr">
        <is>
          <t>Fixadores</t>
        </is>
      </c>
      <c r="B21" t="n">
        <v>740</v>
      </c>
      <c r="C21" t="inlineStr">
        <is>
          <t>Em 23 códigos, inox A4</t>
        </is>
      </c>
    </row>
    <row r="22">
      <c r="A22" t="inlineStr">
        <is>
          <t>Tubo e perfil</t>
        </is>
      </c>
      <c r="B22" t="inlineStr">
        <is>
          <t>23.3 m</t>
        </is>
      </c>
      <c r="C22" t="inlineStr">
        <is>
          <t>Oito seções diferentes</t>
        </is>
      </c>
    </row>
    <row r="23">
      <c r="A23" t="inlineStr">
        <is>
          <t>Chapa bruta</t>
        </is>
      </c>
      <c r="B23" t="inlineStr">
        <is>
          <t>2.31 m²</t>
        </is>
      </c>
      <c r="C23" t="inlineStr">
        <is>
          <t>Sem aninhamento</t>
        </is>
      </c>
    </row>
    <row r="24">
      <c r="A24" t="inlineStr">
        <is>
          <t>Massa do rover</t>
        </is>
      </c>
      <c r="B24" t="inlineStr">
        <is>
          <t>96,31 kg</t>
        </is>
      </c>
      <c r="C24" t="inlineStr">
        <is>
          <t>Mínima verificável, sem payload</t>
        </is>
      </c>
    </row>
    <row r="26">
      <c r="A26" s="5" t="inlineStr">
        <is>
          <t>Como usar</t>
        </is>
      </c>
      <c r="B26" t="inlineStr"/>
      <c r="C26" t="inlineStr"/>
    </row>
    <row r="27">
      <c r="A27" s="7" t="inlineStr">
        <is>
          <t>1. Envie o RFQ (pasta 07) para 3 fornecedores e preencha a aba 2.</t>
        </is>
      </c>
      <c r="B27" t="inlineStr"/>
      <c r="C27" t="inlineStr"/>
    </row>
    <row r="28">
      <c r="A28" s="7" t="inlineStr">
        <is>
          <t>2. Peça preço de material por kg/barra e preencha a aba 1.</t>
        </is>
      </c>
      <c r="B28" t="inlineStr"/>
      <c r="C28" t="inlineStr"/>
    </row>
    <row r="29">
      <c r="A29" s="7" t="inlineStr">
        <is>
          <t>3. Cote os componentes com distribuidor e preencha a aba 3, com câmbio e imposto.</t>
        </is>
      </c>
      <c r="B29" t="inlineStr"/>
      <c r="C29" t="inlineStr"/>
    </row>
    <row r="30">
      <c r="A30" s="7" t="inlineStr">
        <is>
          <t>4. A base e o poste só entram depois que existir projeto (pasta 09).</t>
        </is>
      </c>
      <c r="B30" t="inlineStr"/>
      <c r="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0" customWidth="1" min="4" max="4"/>
    <col width="16" customWidth="1" min="5" max="5"/>
    <col width="34" customWidth="1" min="6" max="6"/>
    <col width="14" customWidth="1" min="7" max="7"/>
  </cols>
  <sheetData>
    <row r="1" ht="30" customHeight="1">
      <c r="A1" s="8" t="inlineStr">
        <is>
          <t>Material</t>
        </is>
      </c>
      <c r="B1" s="8" t="inlineStr">
        <is>
          <t>Especificação</t>
        </is>
      </c>
      <c r="C1" s="8" t="inlineStr">
        <is>
          <t>Quantidade</t>
        </is>
      </c>
      <c r="D1" s="8" t="inlineStr">
        <is>
          <t>Unidade</t>
        </is>
      </c>
      <c r="E1" s="8" t="inlineStr">
        <is>
          <t>Preço unit. (R$)</t>
        </is>
      </c>
      <c r="F1" s="8" t="inlineStr">
        <is>
          <t>Fonte e data do preço</t>
        </is>
      </c>
      <c r="G1" s="8" t="inlineStr">
        <is>
          <t>Total (R$)</t>
        </is>
      </c>
    </row>
    <row r="2">
      <c r="A2" s="9" t="inlineStr">
        <is>
          <t>Consumo calculado — tubos, barras e perfis (por conjunto)</t>
        </is>
      </c>
      <c r="B2" s="10" t="n"/>
      <c r="C2" s="10" t="n"/>
      <c r="D2" s="10" t="n"/>
      <c r="E2" s="10" t="n"/>
      <c r="F2" s="10" t="n"/>
      <c r="G2" s="10" t="n"/>
    </row>
    <row r="3">
      <c r="A3" s="10" t="inlineStr">
        <is>
          <t>Barra Ø8 × 170</t>
        </is>
      </c>
      <c r="B3" s="10" t="inlineStr">
        <is>
          <t>comprimento somado das peças</t>
        </is>
      </c>
      <c r="C3" s="10" t="n">
        <v>0.32</v>
      </c>
      <c r="D3" s="10" t="inlineStr">
        <is>
          <t>m</t>
        </is>
      </c>
      <c r="E3" s="11" t="n">
        <v>1.87</v>
      </c>
      <c r="F3" s="10" t="inlineStr">
        <is>
          <t>referência extrapolada da BOM de compras</t>
        </is>
      </c>
      <c r="G3" s="12">
        <f>IF(E3="","",C3*E3)</f>
        <v/>
      </c>
    </row>
    <row r="4">
      <c r="A4" s="10" t="inlineStr">
        <is>
          <t>Cantoneira 40×40×4 × 150</t>
        </is>
      </c>
      <c r="B4" s="10" t="inlineStr">
        <is>
          <t>comprimento somado das peças</t>
        </is>
      </c>
      <c r="C4" s="10" t="n">
        <v>0.6</v>
      </c>
      <c r="D4" s="10" t="inlineStr">
        <is>
          <t>m</t>
        </is>
      </c>
      <c r="E4" s="11" t="n">
        <v>11.3</v>
      </c>
      <c r="F4" s="10" t="inlineStr">
        <is>
          <t>referência extrapolada da BOM de compras</t>
        </is>
      </c>
      <c r="G4" s="12">
        <f>IF(E4="","",C4*E4)</f>
        <v/>
      </c>
    </row>
    <row r="5">
      <c r="A5" s="10" t="inlineStr">
        <is>
          <t>Cantoneira 40×40×4 × 592</t>
        </is>
      </c>
      <c r="B5" s="10" t="inlineStr">
        <is>
          <t>comprimento somado das peças</t>
        </is>
      </c>
      <c r="C5" s="10" t="n">
        <v>1.18</v>
      </c>
      <c r="D5" s="10" t="inlineStr">
        <is>
          <t>m</t>
        </is>
      </c>
      <c r="E5" s="11" t="n">
        <v>11.3</v>
      </c>
      <c r="F5" s="10" t="inlineStr">
        <is>
          <t>referência extrapolada da BOM de compras</t>
        </is>
      </c>
      <c r="G5" s="12">
        <f>IF(E5="","",C5*E5)</f>
        <v/>
      </c>
    </row>
    <row r="6">
      <c r="A6" s="10" t="inlineStr">
        <is>
          <t>Tubo quadrado 20×20×1,5</t>
        </is>
      </c>
      <c r="B6" s="10" t="inlineStr">
        <is>
          <t>comprimento somado das peças</t>
        </is>
      </c>
      <c r="C6" s="10" t="n">
        <v>6.82</v>
      </c>
      <c r="D6" s="10" t="inlineStr">
        <is>
          <t>m</t>
        </is>
      </c>
      <c r="E6" s="11" t="n">
        <v>2.07</v>
      </c>
      <c r="F6" s="10" t="inlineStr">
        <is>
          <t>referência extrapolada da BOM de compras</t>
        </is>
      </c>
      <c r="G6" s="12">
        <f>IF(E6="","",C6*E6)</f>
        <v/>
      </c>
    </row>
    <row r="7">
      <c r="A7" s="10" t="inlineStr">
        <is>
          <t>Tubo quadrado 30×30×2</t>
        </is>
      </c>
      <c r="B7" s="10" t="inlineStr">
        <is>
          <t>comprimento somado das peças</t>
        </is>
      </c>
      <c r="C7" s="10" t="n">
        <v>8.94</v>
      </c>
      <c r="D7" s="10" t="inlineStr">
        <is>
          <t>m</t>
        </is>
      </c>
      <c r="E7" s="11" t="n">
        <v>3</v>
      </c>
      <c r="F7" s="10" t="inlineStr">
        <is>
          <t>referência extrapolada da BOM de compras</t>
        </is>
      </c>
      <c r="G7" s="12">
        <f>IF(E7="","",C7*E7)</f>
        <v/>
      </c>
    </row>
    <row r="8">
      <c r="A8" s="10" t="inlineStr">
        <is>
          <t>Tubo Ø25×2 × 1436</t>
        </is>
      </c>
      <c r="B8" s="10" t="inlineStr">
        <is>
          <t>comprimento somado das peças</t>
        </is>
      </c>
      <c r="C8" s="10" t="n">
        <v>2.87</v>
      </c>
      <c r="D8" s="10" t="inlineStr">
        <is>
          <t>m</t>
        </is>
      </c>
      <c r="E8" s="11" t="n">
        <v>5.39</v>
      </c>
      <c r="F8" s="10" t="inlineStr">
        <is>
          <t>referência extrapolada da BOM de compras</t>
        </is>
      </c>
      <c r="G8" s="12">
        <f>IF(E8="","",C8*E8)</f>
        <v/>
      </c>
    </row>
    <row r="9">
      <c r="A9" s="10" t="inlineStr">
        <is>
          <t>Tubo Ø29/Ø25</t>
        </is>
      </c>
      <c r="B9" s="10" t="inlineStr">
        <is>
          <t>comprimento somado das peças</t>
        </is>
      </c>
      <c r="C9" s="10" t="n">
        <v>2.17</v>
      </c>
      <c r="D9" s="10" t="inlineStr">
        <is>
          <t>m</t>
        </is>
      </c>
      <c r="E9" s="11" t="n">
        <v>0.96</v>
      </c>
      <c r="F9" s="10" t="inlineStr">
        <is>
          <t>referência extrapolada da BOM de compras</t>
        </is>
      </c>
      <c r="G9" s="12">
        <f>IF(E9="","",C9*E9)</f>
        <v/>
      </c>
    </row>
    <row r="10">
      <c r="A10" s="10" t="inlineStr">
        <is>
          <t>Tubo Ø34×4,5 × 180</t>
        </is>
      </c>
      <c r="B10" s="10" t="inlineStr">
        <is>
          <t>comprimento somado das peças</t>
        </is>
      </c>
      <c r="C10" s="10" t="n">
        <v>0.36</v>
      </c>
      <c r="D10" s="10" t="inlineStr">
        <is>
          <t>m</t>
        </is>
      </c>
      <c r="E10" s="11" t="n">
        <v>15.54</v>
      </c>
      <c r="F10" s="10" t="inlineStr">
        <is>
          <t>referência extrapolada da BOM de compras</t>
        </is>
      </c>
      <c r="G10" s="12">
        <f>IF(E10="","",C10*E10)</f>
        <v/>
      </c>
    </row>
    <row r="11">
      <c r="A11" s="9" t="inlineStr">
        <is>
          <t>Consumo calculado — chapa (área bruta, sem aninhamento)</t>
        </is>
      </c>
      <c r="B11" s="10" t="n"/>
      <c r="C11" s="10" t="n"/>
      <c r="D11" s="10" t="n"/>
      <c r="E11" s="10" t="n"/>
      <c r="F11" s="10" t="n"/>
      <c r="G11" s="10" t="n"/>
    </row>
    <row r="12">
      <c r="A12" s="10" t="inlineStr">
        <is>
          <t>Chapa 1,2 mm</t>
        </is>
      </c>
      <c r="B12" s="10" t="inlineStr">
        <is>
          <t>Al 5052-H32</t>
        </is>
      </c>
      <c r="C12" s="10" t="n">
        <v>0.65</v>
      </c>
      <c r="D12" s="10" t="inlineStr">
        <is>
          <t>m²</t>
        </is>
      </c>
      <c r="E12" s="11" t="n">
        <v>186.67</v>
      </c>
      <c r="F12" s="10" t="inlineStr">
        <is>
          <t>referência extrapolada da BOM de compras</t>
        </is>
      </c>
      <c r="G12" s="12">
        <f>IF(E12="","",C12*E12)</f>
        <v/>
      </c>
    </row>
    <row r="13">
      <c r="A13" s="10" t="inlineStr">
        <is>
          <t>Chapa 2 mm</t>
        </is>
      </c>
      <c r="B13" s="10" t="inlineStr">
        <is>
          <t>Al 5052-H32</t>
        </is>
      </c>
      <c r="C13" s="10" t="n">
        <v>1.222</v>
      </c>
      <c r="D13" s="10" t="inlineStr">
        <is>
          <t>m²</t>
        </is>
      </c>
      <c r="E13" s="11" t="n">
        <v>311.11</v>
      </c>
      <c r="F13" s="10" t="inlineStr">
        <is>
          <t>referência extrapolada da BOM de compras</t>
        </is>
      </c>
      <c r="G13" s="12">
        <f>IF(E13="","",C13*E13)</f>
        <v/>
      </c>
    </row>
    <row r="14">
      <c r="A14" s="10" t="inlineStr">
        <is>
          <t>Chapa 1,5 mm</t>
        </is>
      </c>
      <c r="B14" s="10" t="inlineStr">
        <is>
          <t>Al 6061-T6</t>
        </is>
      </c>
      <c r="C14" s="10" t="n">
        <v>0.003</v>
      </c>
      <c r="D14" s="10" t="inlineStr">
        <is>
          <t>m²</t>
        </is>
      </c>
      <c r="E14" s="11" t="n">
        <v>233.33</v>
      </c>
      <c r="F14" s="10" t="inlineStr">
        <is>
          <t>referência extrapolada da BOM de compras</t>
        </is>
      </c>
      <c r="G14" s="12">
        <f>IF(E14="","",C14*E14)</f>
        <v/>
      </c>
    </row>
    <row r="15">
      <c r="A15" s="10" t="inlineStr">
        <is>
          <t>Chapa 10 mm</t>
        </is>
      </c>
      <c r="B15" s="10" t="inlineStr">
        <is>
          <t>Al 6061-T6</t>
        </is>
      </c>
      <c r="C15" s="10" t="n">
        <v>0.101</v>
      </c>
      <c r="D15" s="10" t="inlineStr">
        <is>
          <t>m²</t>
        </is>
      </c>
      <c r="E15" s="11" t="n">
        <v>1555.56</v>
      </c>
      <c r="F15" s="10" t="inlineStr">
        <is>
          <t>referência extrapolada da BOM de compras</t>
        </is>
      </c>
      <c r="G15" s="12">
        <f>IF(E15="","",C15*E15)</f>
        <v/>
      </c>
    </row>
    <row r="16">
      <c r="A16" s="10" t="inlineStr">
        <is>
          <t>Chapa 2 mm</t>
        </is>
      </c>
      <c r="B16" s="10" t="inlineStr">
        <is>
          <t>Al 6061-T6</t>
        </is>
      </c>
      <c r="C16" s="10" t="n">
        <v>0.007</v>
      </c>
      <c r="D16" s="10" t="inlineStr">
        <is>
          <t>m²</t>
        </is>
      </c>
      <c r="E16" s="11" t="n">
        <v>311.11</v>
      </c>
      <c r="F16" s="10" t="inlineStr">
        <is>
          <t>referência extrapolada da BOM de compras</t>
        </is>
      </c>
      <c r="G16" s="12">
        <f>IF(E16="","",C16*E16)</f>
        <v/>
      </c>
    </row>
    <row r="17">
      <c r="A17" s="10" t="inlineStr">
        <is>
          <t>Chapa 3 mm</t>
        </is>
      </c>
      <c r="B17" s="10" t="inlineStr">
        <is>
          <t>Al 6061-T6</t>
        </is>
      </c>
      <c r="C17" s="10" t="n">
        <v>0.051</v>
      </c>
      <c r="D17" s="10" t="inlineStr">
        <is>
          <t>m²</t>
        </is>
      </c>
      <c r="E17" s="11" t="n">
        <v>466.67</v>
      </c>
      <c r="F17" s="10" t="inlineStr">
        <is>
          <t>referência extrapolada da BOM de compras</t>
        </is>
      </c>
      <c r="G17" s="12">
        <f>IF(E17="","",C17*E17)</f>
        <v/>
      </c>
    </row>
    <row r="18">
      <c r="A18" s="10" t="inlineStr">
        <is>
          <t>Chapa 4 mm</t>
        </is>
      </c>
      <c r="B18" s="10" t="inlineStr">
        <is>
          <t>Al 6061-T6</t>
        </is>
      </c>
      <c r="C18" s="10" t="n">
        <v>0.008</v>
      </c>
      <c r="D18" s="10" t="inlineStr">
        <is>
          <t>m²</t>
        </is>
      </c>
      <c r="E18" s="11" t="n">
        <v>622.22</v>
      </c>
      <c r="F18" s="10" t="inlineStr">
        <is>
          <t>referência extrapolada da BOM de compras</t>
        </is>
      </c>
      <c r="G18" s="12">
        <f>IF(E18="","",C18*E18)</f>
        <v/>
      </c>
    </row>
    <row r="19">
      <c r="A19" s="10" t="inlineStr">
        <is>
          <t>Chapa 5 mm</t>
        </is>
      </c>
      <c r="B19" s="10" t="inlineStr">
        <is>
          <t>Al 6061-T6</t>
        </is>
      </c>
      <c r="C19" s="10" t="n">
        <v>0.026</v>
      </c>
      <c r="D19" s="10" t="inlineStr">
        <is>
          <t>m²</t>
        </is>
      </c>
      <c r="E19" s="11" t="n">
        <v>777.78</v>
      </c>
      <c r="F19" s="10" t="inlineStr">
        <is>
          <t>referência extrapolada da BOM de compras</t>
        </is>
      </c>
      <c r="G19" s="12">
        <f>IF(E19="","",C19*E19)</f>
        <v/>
      </c>
    </row>
    <row r="20">
      <c r="A20" s="10" t="inlineStr">
        <is>
          <t>Chapa 6 mm</t>
        </is>
      </c>
      <c r="B20" s="10" t="inlineStr">
        <is>
          <t>Al 6061-T6</t>
        </is>
      </c>
      <c r="C20" s="10" t="n">
        <v>0.154</v>
      </c>
      <c r="D20" s="10" t="inlineStr">
        <is>
          <t>m²</t>
        </is>
      </c>
      <c r="E20" s="11" t="n">
        <v>933.33</v>
      </c>
      <c r="F20" s="10" t="inlineStr">
        <is>
          <t>referência extrapolada da BOM de compras</t>
        </is>
      </c>
      <c r="G20" s="12">
        <f>IF(E20="","",C20*E20)</f>
        <v/>
      </c>
    </row>
    <row r="21">
      <c r="A21" s="10" t="inlineStr">
        <is>
          <t>Chapa 8 mm</t>
        </is>
      </c>
      <c r="B21" s="10" t="inlineStr">
        <is>
          <t>Al 6061-T6</t>
        </is>
      </c>
      <c r="C21" s="10" t="n">
        <v>0.062</v>
      </c>
      <c r="D21" s="10" t="inlineStr">
        <is>
          <t>m²</t>
        </is>
      </c>
      <c r="E21" s="11" t="n">
        <v>1244.44</v>
      </c>
      <c r="F21" s="10" t="inlineStr">
        <is>
          <t>referência extrapolada da BOM de compras</t>
        </is>
      </c>
      <c r="G21" s="12">
        <f>IF(E21="","",C21*E21)</f>
        <v/>
      </c>
    </row>
    <row r="22">
      <c r="A22" s="10" t="inlineStr">
        <is>
          <t>Chapa 3 mm</t>
        </is>
      </c>
      <c r="B22" s="10" t="inlineStr">
        <is>
          <t>Policarbonato</t>
        </is>
      </c>
      <c r="C22" s="10" t="n">
        <v>0.02</v>
      </c>
      <c r="D22" s="10" t="inlineStr">
        <is>
          <t>m²</t>
        </is>
      </c>
      <c r="E22" s="11" t="n">
        <v>466.67</v>
      </c>
      <c r="F22" s="10" t="inlineStr">
        <is>
          <t>referência extrapolada da BOM de compras</t>
        </is>
      </c>
      <c r="G22" s="12">
        <f>IF(E22="","",C22*E22)</f>
        <v/>
      </c>
    </row>
    <row r="23">
      <c r="A23" s="13" t="inlineStr">
        <is>
          <t>Compra sugerida — o fornecedor costuma vender assim</t>
        </is>
      </c>
    </row>
    <row r="24">
      <c r="A24" t="inlineStr">
        <is>
          <t>Tubo quadrado 30×30×2</t>
        </is>
      </c>
      <c r="B24" t="inlineStr">
        <is>
          <t>Al 6061-T6 · ASTM B221</t>
        </is>
      </c>
      <c r="C24" t="inlineStr">
        <is>
          <t>2 barras de 6 m</t>
        </is>
      </c>
      <c r="D24" t="inlineStr">
        <is>
          <t>—</t>
        </is>
      </c>
      <c r="E24" t="inlineStr"/>
      <c r="F24" t="inlineStr">
        <is>
          <t>referência de compra</t>
        </is>
      </c>
      <c r="G24" t="inlineStr"/>
    </row>
    <row r="25">
      <c r="A25" t="inlineStr">
        <is>
          <t>Tubo quadrado 20×20×1,5</t>
        </is>
      </c>
      <c r="B25" t="inlineStr">
        <is>
          <t>Al 6061-T6 · ASTM B221</t>
        </is>
      </c>
      <c r="C25" t="inlineStr">
        <is>
          <t>2 barras de 6 m</t>
        </is>
      </c>
      <c r="D25" t="inlineStr">
        <is>
          <t>—</t>
        </is>
      </c>
      <c r="E25" t="inlineStr"/>
      <c r="F25" t="inlineStr">
        <is>
          <t>referência de compra</t>
        </is>
      </c>
      <c r="G25" t="inlineStr"/>
    </row>
    <row r="26">
      <c r="A26" t="inlineStr">
        <is>
          <t>Tubo redondo Ø34×4,5</t>
        </is>
      </c>
      <c r="B26" t="inlineStr">
        <is>
          <t>Al 6061-T6 · ASTM B221</t>
        </is>
      </c>
      <c r="C26" t="inlineStr">
        <is>
          <t>0,4 m</t>
        </is>
      </c>
      <c r="D26" t="inlineStr">
        <is>
          <t>—</t>
        </is>
      </c>
      <c r="E26" t="inlineStr"/>
      <c r="F26" t="inlineStr">
        <is>
          <t>referência de compra</t>
        </is>
      </c>
      <c r="G26" t="inlineStr"/>
    </row>
    <row r="27">
      <c r="A27" t="inlineStr">
        <is>
          <t>Tubo redondo Ø25×2</t>
        </is>
      </c>
      <c r="B27" t="inlineStr">
        <is>
          <t>Al 6061-T6 · ASTM B221</t>
        </is>
      </c>
      <c r="C27" t="inlineStr">
        <is>
          <t>3,0 m</t>
        </is>
      </c>
      <c r="D27" t="inlineStr">
        <is>
          <t>—</t>
        </is>
      </c>
      <c r="E27" t="inlineStr"/>
      <c r="F27" t="inlineStr">
        <is>
          <t>referência de compra</t>
        </is>
      </c>
      <c r="G27" t="inlineStr"/>
    </row>
    <row r="28">
      <c r="A28" t="inlineStr">
        <is>
          <t>Tubo redondo Ø12 (furo Ø6,6)</t>
        </is>
      </c>
      <c r="B28" t="inlineStr">
        <is>
          <t>Al 6061-T6 · —</t>
        </is>
      </c>
      <c r="C28" t="inlineStr">
        <is>
          <t>0,3 m</t>
        </is>
      </c>
      <c r="D28" t="inlineStr">
        <is>
          <t>—</t>
        </is>
      </c>
      <c r="E28" t="inlineStr"/>
      <c r="F28" t="inlineStr">
        <is>
          <t>referência de compra</t>
        </is>
      </c>
      <c r="G28" t="inlineStr"/>
    </row>
    <row r="29">
      <c r="A29" t="inlineStr">
        <is>
          <t>Barra redonda Ø12</t>
        </is>
      </c>
      <c r="B29" t="inlineStr">
        <is>
          <t>Al 6061-T6 · —</t>
        </is>
      </c>
      <c r="C29" t="inlineStr">
        <is>
          <t>0,5 m</t>
        </is>
      </c>
      <c r="D29" t="inlineStr">
        <is>
          <t>—</t>
        </is>
      </c>
      <c r="E29" t="inlineStr"/>
      <c r="F29" t="inlineStr">
        <is>
          <t>referência de compra</t>
        </is>
      </c>
      <c r="G29" t="inlineStr"/>
    </row>
    <row r="30">
      <c r="A30" t="inlineStr">
        <is>
          <t>Barra redonda Ø8</t>
        </is>
      </c>
      <c r="B30" t="inlineStr">
        <is>
          <t>Al 6061-T6 · —</t>
        </is>
      </c>
      <c r="C30" t="inlineStr">
        <is>
          <t>0,4 m</t>
        </is>
      </c>
      <c r="D30" t="inlineStr">
        <is>
          <t>—</t>
        </is>
      </c>
      <c r="E30" t="inlineStr"/>
      <c r="F30" t="inlineStr">
        <is>
          <t>referência de compra</t>
        </is>
      </c>
      <c r="G30" t="inlineStr"/>
    </row>
    <row r="31">
      <c r="A31" t="inlineStr">
        <is>
          <t>Cantoneira 40×40×4</t>
        </is>
      </c>
      <c r="B31" t="inlineStr">
        <is>
          <t>Al 6061-T6 · —</t>
        </is>
      </c>
      <c r="C31" t="inlineStr">
        <is>
          <t>1,8 m</t>
        </is>
      </c>
      <c r="D31" t="inlineStr">
        <is>
          <t>—</t>
        </is>
      </c>
      <c r="E31" t="inlineStr"/>
      <c r="F31" t="inlineStr">
        <is>
          <t>referência de compra</t>
        </is>
      </c>
      <c r="G31" t="inlineStr"/>
    </row>
    <row r="32">
      <c r="A32" t="inlineStr">
        <is>
          <t>Barra chata 50×4</t>
        </is>
      </c>
      <c r="B32" t="inlineStr">
        <is>
          <t>Al 6061-T6 · —</t>
        </is>
      </c>
      <c r="C32" t="inlineStr">
        <is>
          <t>0,3 m</t>
        </is>
      </c>
      <c r="D32" t="inlineStr">
        <is>
          <t>—</t>
        </is>
      </c>
      <c r="E32" t="inlineStr"/>
      <c r="F32" t="inlineStr">
        <is>
          <t>referência de compra</t>
        </is>
      </c>
      <c r="G32" t="inlineStr"/>
    </row>
    <row r="33">
      <c r="A33" t="inlineStr">
        <is>
          <t>Chapa 10 mm</t>
        </is>
      </c>
      <c r="B33" t="inlineStr">
        <is>
          <t>Al 6061-T6 · ASTM B209</t>
        </is>
      </c>
      <c r="C33" t="inlineStr">
        <is>
          <t>retalho 260×430</t>
        </is>
      </c>
      <c r="D33" t="inlineStr">
        <is>
          <t>—</t>
        </is>
      </c>
      <c r="E33" t="inlineStr"/>
      <c r="F33" t="inlineStr">
        <is>
          <t>referência de compra</t>
        </is>
      </c>
      <c r="G33" t="inlineStr"/>
    </row>
    <row r="34">
      <c r="A34" t="inlineStr">
        <is>
          <t>Chapa 8 mm</t>
        </is>
      </c>
      <c r="B34" t="inlineStr">
        <is>
          <t>Al 6061-T6 · ASTM B209</t>
        </is>
      </c>
      <c r="C34" t="inlineStr">
        <is>
          <t>retalho 200×400</t>
        </is>
      </c>
      <c r="D34" t="inlineStr">
        <is>
          <t>—</t>
        </is>
      </c>
      <c r="E34" t="inlineStr"/>
      <c r="F34" t="inlineStr">
        <is>
          <t>referência de compra</t>
        </is>
      </c>
      <c r="G34" t="inlineStr"/>
    </row>
    <row r="35">
      <c r="A35" t="inlineStr">
        <is>
          <t>Chapa 6 mm</t>
        </is>
      </c>
      <c r="B35" t="inlineStr">
        <is>
          <t>Al 6061-T6 · ASTM B209</t>
        </is>
      </c>
      <c r="C35" t="inlineStr">
        <is>
          <t>retalho 400×600</t>
        </is>
      </c>
      <c r="D35" t="inlineStr">
        <is>
          <t>—</t>
        </is>
      </c>
      <c r="E35" t="inlineStr"/>
      <c r="F35" t="inlineStr">
        <is>
          <t>referência de compra</t>
        </is>
      </c>
      <c r="G35" t="inlineStr"/>
    </row>
    <row r="36">
      <c r="A36" t="inlineStr">
        <is>
          <t>Chapa 5 mm</t>
        </is>
      </c>
      <c r="B36" t="inlineStr">
        <is>
          <t>Al 6061-T6 · ASTM B209</t>
        </is>
      </c>
      <c r="C36" t="inlineStr">
        <is>
          <t>retalho 150×250</t>
        </is>
      </c>
      <c r="D36" t="inlineStr">
        <is>
          <t>—</t>
        </is>
      </c>
      <c r="E36" t="inlineStr"/>
      <c r="F36" t="inlineStr">
        <is>
          <t>referência de compra</t>
        </is>
      </c>
      <c r="G36" t="inlineStr"/>
    </row>
    <row r="37">
      <c r="A37" t="inlineStr">
        <is>
          <t>Chapa 3 mm</t>
        </is>
      </c>
      <c r="B37" t="inlineStr">
        <is>
          <t>Al 6061-T6 · ASTM B209</t>
        </is>
      </c>
      <c r="C37" t="inlineStr">
        <is>
          <t>retalho 300×400</t>
        </is>
      </c>
      <c r="D37" t="inlineStr">
        <is>
          <t>—</t>
        </is>
      </c>
      <c r="E37" t="inlineStr"/>
      <c r="F37" t="inlineStr">
        <is>
          <t>referência de compra</t>
        </is>
      </c>
      <c r="G37" t="inlineStr"/>
    </row>
    <row r="38">
      <c r="A38" t="inlineStr">
        <is>
          <t>Chapa 2 mm</t>
        </is>
      </c>
      <c r="B38" t="inlineStr">
        <is>
          <t>Al 6061-T6 · ASTM B209</t>
        </is>
      </c>
      <c r="C38" t="inlineStr">
        <is>
          <t>retalho 120×120</t>
        </is>
      </c>
      <c r="D38" t="inlineStr">
        <is>
          <t>—</t>
        </is>
      </c>
      <c r="E38" t="inlineStr"/>
      <c r="F38" t="inlineStr">
        <is>
          <t>referência de compra</t>
        </is>
      </c>
      <c r="G38" t="inlineStr"/>
    </row>
    <row r="39">
      <c r="A39" t="inlineStr">
        <is>
          <t>Chapa 2 mm</t>
        </is>
      </c>
      <c r="B39" t="inlineStr">
        <is>
          <t>Al 5052-H32 · ASTM B209</t>
        </is>
      </c>
      <c r="C39" t="inlineStr">
        <is>
          <t>≈ 1,05 × 1,30 m</t>
        </is>
      </c>
      <c r="D39" t="inlineStr">
        <is>
          <t>—</t>
        </is>
      </c>
      <c r="E39" t="inlineStr"/>
      <c r="F39" t="inlineStr">
        <is>
          <t>referência de compra</t>
        </is>
      </c>
      <c r="G39" t="inlineStr"/>
    </row>
    <row r="40">
      <c r="A40" t="inlineStr">
        <is>
          <t>Chapa 1,5 mm</t>
        </is>
      </c>
      <c r="B40" t="inlineStr">
        <is>
          <t>Al 6061-T6 · ASTM B209</t>
        </is>
      </c>
      <c r="C40" t="inlineStr">
        <is>
          <t>retalho 100×100</t>
        </is>
      </c>
      <c r="D40" t="inlineStr">
        <is>
          <t>—</t>
        </is>
      </c>
      <c r="E40" t="inlineStr"/>
      <c r="F40" t="inlineStr">
        <is>
          <t>referência de compra</t>
        </is>
      </c>
      <c r="G40" t="inlineStr"/>
    </row>
    <row r="41">
      <c r="A41" t="inlineStr">
        <is>
          <t>Chapa 1,2 mm</t>
        </is>
      </c>
      <c r="B41" t="inlineStr">
        <is>
          <t>Al 5052-H32 · ASTM B209</t>
        </is>
      </c>
      <c r="C41" t="inlineStr">
        <is>
          <t>≈ 1,00 × 0,60 m</t>
        </is>
      </c>
      <c r="D41" t="inlineStr">
        <is>
          <t>—</t>
        </is>
      </c>
      <c r="E41" t="inlineStr"/>
      <c r="F41" t="inlineStr">
        <is>
          <t>referência de compra</t>
        </is>
      </c>
      <c r="G41" t="inlineStr"/>
    </row>
    <row r="42">
      <c r="A42" t="inlineStr">
        <is>
          <t>Chapa de policarbonato 3 mm</t>
        </is>
      </c>
      <c r="B42" t="inlineStr">
        <is>
          <t>PC · —</t>
        </is>
      </c>
      <c r="C42" t="inlineStr">
        <is>
          <t>retalho 200×200</t>
        </is>
      </c>
      <c r="D42" t="inlineStr">
        <is>
          <t>—</t>
        </is>
      </c>
      <c r="E42" t="inlineStr"/>
      <c r="F42" t="inlineStr">
        <is>
          <t>referência de compra</t>
        </is>
      </c>
      <c r="G42" t="inlineStr"/>
    </row>
    <row r="43">
      <c r="A43" t="inlineStr">
        <is>
          <t>Tubo UHMW-PE Ø29/Ø25</t>
        </is>
      </c>
      <c r="B43" t="inlineStr">
        <is>
          <t>UHMW-PE · —</t>
        </is>
      </c>
      <c r="C43" t="inlineStr">
        <is>
          <t>3,0 m</t>
        </is>
      </c>
      <c r="D43" t="inlineStr">
        <is>
          <t>—</t>
        </is>
      </c>
      <c r="E43" t="inlineStr"/>
      <c r="F43" t="inlineStr">
        <is>
          <t>referência de compra</t>
        </is>
      </c>
      <c r="G43" t="inlineStr"/>
    </row>
    <row r="44">
      <c r="A44" t="inlineStr">
        <is>
          <t>Bloco/chapa UHMW-PE 3 mm</t>
        </is>
      </c>
      <c r="B44" t="inlineStr">
        <is>
          <t>UHMW-PE · —</t>
        </is>
      </c>
      <c r="C44" t="inlineStr">
        <is>
          <t>a definir pelo processo da N-09</t>
        </is>
      </c>
      <c r="D44" t="inlineStr">
        <is>
          <t>—</t>
        </is>
      </c>
      <c r="E44" t="inlineStr"/>
      <c r="F44" t="inlineStr">
        <is>
          <t>referência de compra</t>
        </is>
      </c>
      <c r="G44" t="inlineStr"/>
    </row>
    <row r="46">
      <c r="A46" s="5" t="inlineStr">
        <is>
          <t>TOTAL</t>
        </is>
      </c>
      <c r="B46" s="5" t="inlineStr"/>
      <c r="C46" s="5" t="inlineStr"/>
      <c r="D46" s="5" t="inlineStr"/>
      <c r="E46" s="5" t="inlineStr"/>
      <c r="F46" s="5" t="inlineStr"/>
      <c r="G46" s="6">
        <f>SUM(G3:G22)</f>
        <v/>
      </c>
    </row>
    <row r="48">
      <c r="A48" s="2" t="inlineStr">
        <is>
          <t>Preencher a coluna amarela com preço real. Alumínio costuma ser cotado por kg; converta usando a massa da BOM se o fornecedor cotar assim.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2" customWidth="1" min="4" max="4"/>
    <col width="16" customWidth="1" min="5" max="5"/>
    <col width="26" customWidth="1" min="6" max="6"/>
    <col width="14" customWidth="1" min="7" max="7"/>
  </cols>
  <sheetData>
    <row r="1" ht="30" customHeight="1">
      <c r="A1" s="8" t="inlineStr">
        <is>
          <t>Serviço</t>
        </is>
      </c>
      <c r="B1" s="8" t="inlineStr">
        <is>
          <t>Escopo</t>
        </is>
      </c>
      <c r="C1" s="8" t="inlineStr">
        <is>
          <t>Quantidade</t>
        </is>
      </c>
      <c r="D1" s="8" t="inlineStr">
        <is>
          <t>Unidade</t>
        </is>
      </c>
      <c r="E1" s="8" t="inlineStr">
        <is>
          <t>Preço unit. (R$)</t>
        </is>
      </c>
      <c r="F1" s="8" t="inlineStr">
        <is>
          <t>Fornecedor / fonte</t>
        </is>
      </c>
      <c r="G1" s="8" t="inlineStr">
        <is>
          <t>Total (R$)</t>
        </is>
      </c>
    </row>
    <row r="2">
      <c r="A2" s="10" t="inlineStr">
        <is>
          <t>Corte a laser / CNC</t>
        </is>
      </c>
      <c r="B2" s="14" t="inlineStr">
        <is>
          <t>Peças planas em alumínio e policarbonato</t>
        </is>
      </c>
      <c r="C2" s="10" t="n">
        <v>52.9</v>
      </c>
      <c r="D2" s="10" t="inlineStr">
        <is>
          <t>m de corte</t>
        </is>
      </c>
      <c r="E2" s="11" t="inlineStr"/>
      <c r="F2" s="10" t="inlineStr"/>
      <c r="G2" s="12">
        <f>IF(E2="","",C2*E2)</f>
        <v/>
      </c>
    </row>
    <row r="3">
      <c r="A3" s="10" t="inlineStr">
        <is>
          <t>Dobra</t>
        </is>
      </c>
      <c r="B3" s="14" t="inlineStr">
        <is>
          <t>E-11 e N-06</t>
        </is>
      </c>
      <c r="C3" s="10" t="n">
        <v>3</v>
      </c>
      <c r="D3" s="10" t="inlineStr">
        <is>
          <t>dobras</t>
        </is>
      </c>
      <c r="E3" s="11" t="inlineStr"/>
      <c r="F3" s="10" t="inlineStr"/>
      <c r="G3" s="12">
        <f>IF(E3="","",C3*E3)</f>
        <v/>
      </c>
    </row>
    <row r="4">
      <c r="A4" s="10" t="inlineStr">
        <is>
          <t>Usinagem</t>
        </is>
      </c>
      <c r="B4" s="14" t="inlineStr">
        <is>
          <t>Q-05, N-03, M-12, N-04 e faces usinadas da S-02 e N-02</t>
        </is>
      </c>
      <c r="C4" s="10" t="n">
        <v>24</v>
      </c>
      <c r="D4" s="10" t="inlineStr">
        <is>
          <t>peças</t>
        </is>
      </c>
      <c r="E4" s="11" t="inlineStr"/>
      <c r="F4" s="10" t="inlineStr"/>
      <c r="G4" s="12">
        <f>IF(E4="","",C4*E4)</f>
        <v/>
      </c>
    </row>
    <row r="5">
      <c r="A5" s="10" t="inlineStr">
        <is>
          <t>Corte de tubos e perfis</t>
        </is>
      </c>
      <c r="B5" s="14" t="inlineStr">
        <is>
          <t>Serra, 90°, sem rebarba</t>
        </is>
      </c>
      <c r="C5" s="10" t="n">
        <v>23.3</v>
      </c>
      <c r="D5" s="10" t="inlineStr">
        <is>
          <t>m de perfil</t>
        </is>
      </c>
      <c r="E5" s="11" t="inlineStr"/>
      <c r="F5" s="10" t="inlineStr"/>
      <c r="G5" s="12">
        <f>IF(E5="","",C5*E5)</f>
        <v/>
      </c>
    </row>
    <row r="6">
      <c r="A6" s="10" t="inlineStr">
        <is>
          <t>Soldagem TIG</t>
        </is>
      </c>
      <c r="B6" s="14" t="inlineStr">
        <is>
          <t>3 conjuntos soldados (quadro, 4 suportes, 2 módulos de gaiola)</t>
        </is>
      </c>
      <c r="C6" s="10" t="n">
        <v>13.6</v>
      </c>
      <c r="D6" s="10" t="inlineStr">
        <is>
          <t>m de cordão</t>
        </is>
      </c>
      <c r="E6" s="11" t="inlineStr"/>
      <c r="F6" s="10" t="inlineStr"/>
      <c r="G6" s="12">
        <f>IF(E6="","",C6*E6)</f>
        <v/>
      </c>
    </row>
    <row r="7">
      <c r="A7" s="10" t="inlineStr">
        <is>
          <t>Gabaritos de soldagem</t>
        </is>
      </c>
      <c r="B7" s="14" t="inlineStr">
        <is>
          <t>Custo único, não recorrente</t>
        </is>
      </c>
      <c r="C7" s="10" t="n">
        <v>3</v>
      </c>
      <c r="D7" s="10" t="inlineStr">
        <is>
          <t>gabaritos</t>
        </is>
      </c>
      <c r="E7" s="11" t="inlineStr"/>
      <c r="F7" s="10" t="inlineStr"/>
      <c r="G7" s="12">
        <f>IF(E7="","",C7*E7)</f>
        <v/>
      </c>
    </row>
    <row r="8">
      <c r="A8" s="10" t="inlineStr">
        <is>
          <t>Tratamento de superfície</t>
        </is>
      </c>
      <c r="B8" s="14" t="inlineStr">
        <is>
          <t>Opção A natural / B anodização / C pintura</t>
        </is>
      </c>
      <c r="C8" s="10" t="n">
        <v>4.66</v>
      </c>
      <c r="D8" s="10" t="inlineStr">
        <is>
          <t>m² de superfície</t>
        </is>
      </c>
      <c r="E8" s="11" t="inlineStr"/>
      <c r="F8" s="10" t="inlineStr"/>
      <c r="G8" s="12">
        <f>IF(E8="","",C8*E8)</f>
        <v/>
      </c>
    </row>
    <row r="9">
      <c r="A9" s="10" t="inlineStr">
        <is>
          <t>Instalação de porcas-rebite</t>
        </is>
      </c>
      <c r="B9" s="14" t="inlineStr">
        <is>
          <t>176 porcas-rebite M5 e M6</t>
        </is>
      </c>
      <c r="C9" s="10" t="n">
        <v>176</v>
      </c>
      <c r="D9" s="10" t="inlineStr">
        <is>
          <t>porcas</t>
        </is>
      </c>
      <c r="E9" s="11" t="inlineStr"/>
      <c r="F9" s="10" t="inlineStr"/>
      <c r="G9" s="12">
        <f>IF(E9="","",C9*E9)</f>
        <v/>
      </c>
    </row>
    <row r="10">
      <c r="A10" s="10" t="inlineStr">
        <is>
          <t>Montagem mecânica</t>
        </is>
      </c>
      <c r="B10" s="14" t="inlineStr">
        <is>
          <t>Montagem do conjunto e aperto com torquímetro</t>
        </is>
      </c>
      <c r="C10" s="10" t="n">
        <v>1</v>
      </c>
      <c r="D10" s="10" t="inlineStr">
        <is>
          <t>conjunto</t>
        </is>
      </c>
      <c r="E10" s="11" t="inlineStr"/>
      <c r="F10" s="10" t="inlineStr"/>
      <c r="G10" s="12">
        <f>IF(E10="","",C10*E10)</f>
        <v/>
      </c>
    </row>
    <row r="11">
      <c r="A11" s="10" t="inlineStr">
        <is>
          <t>Inspeção dimensional</t>
        </is>
      </c>
      <c r="B11" s="14" t="inlineStr">
        <is>
          <t>Relatório das 9 características críticas</t>
        </is>
      </c>
      <c r="C11" s="10" t="n">
        <v>9</v>
      </c>
      <c r="D11" s="10" t="inlineStr">
        <is>
          <t>cotas críticas</t>
        </is>
      </c>
      <c r="E11" s="11" t="inlineStr"/>
      <c r="F11" s="10" t="inlineStr"/>
      <c r="G11" s="12">
        <f>IF(E11="","",C11*E11)</f>
        <v/>
      </c>
    </row>
    <row r="12">
      <c r="A12" s="10" t="inlineStr">
        <is>
          <t>Frete</t>
        </is>
      </c>
      <c r="B12" s="14" t="inlineStr">
        <is>
          <t>Até Pouso Alegre / MG</t>
        </is>
      </c>
      <c r="C12" s="10" t="n">
        <v>1</v>
      </c>
      <c r="D12" s="10" t="inlineStr">
        <is>
          <t>entrega</t>
        </is>
      </c>
      <c r="E12" s="11" t="inlineStr"/>
      <c r="F12" s="10" t="inlineStr"/>
      <c r="G12" s="12">
        <f>IF(E12="","",C12*E12)</f>
        <v/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6">
        <f>SUM(G2:G12)</f>
        <v/>
      </c>
    </row>
    <row r="16">
      <c r="A16" s="15" t="inlineStr">
        <is>
          <t>Como estas quantidades foram obtidas (todas DERIVADAS da geometria do caderno):</t>
        </is>
      </c>
    </row>
    <row r="17">
      <c r="A17" s="2" t="inlineStr">
        <is>
          <t>Corte a laser: 38.8 m de contorno + 14.2 m de furos = 52.9 m, em 433 furos</t>
        </is>
      </c>
    </row>
    <row r="18">
      <c r="A18" s="2" t="inlineStr">
        <is>
          <t>Soldagem: 13.6 m de cordão somando as juntas de todos os conjuntos soldados</t>
        </is>
      </c>
    </row>
    <row r="19">
      <c r="A19" s="2" t="inlineStr">
        <is>
          <t>Tratamento de superfície: 4.66 m² de área externa das peças planas</t>
        </is>
      </c>
    </row>
    <row r="20">
      <c r="A20" s="2" t="inlineStr">
        <is>
          <t>Porcas-rebite: 176 unidades M5 e M6 instaladas depois do acabamento</t>
        </is>
      </c>
    </row>
    <row r="21">
      <c r="A21" s="2" t="inlineStr">
        <is>
          <t>Peça ao fornecedor o preço por metro de corte e por metro de cordão: fica comparável entre propostas.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7" customWidth="1" min="3" max="3"/>
    <col width="7" customWidth="1" min="4" max="4"/>
    <col width="9" customWidth="1" min="5" max="5"/>
    <col width="13" customWidth="1" min="6" max="6"/>
    <col width="40" customWidth="1" min="7" max="7"/>
    <col width="14" customWidth="1" min="8" max="8"/>
  </cols>
  <sheetData>
    <row r="1">
      <c r="A1" s="5" t="inlineStr">
        <is>
          <t>Câmbio USD → BRL:</t>
        </is>
      </c>
      <c r="B1" s="16" t="inlineStr"/>
      <c r="C1" t="inlineStr">
        <is>
          <t>← preencher</t>
        </is>
      </c>
      <c r="D1" t="inlineStr"/>
      <c r="E1" t="inlineStr"/>
      <c r="F1" t="inlineStr"/>
      <c r="G1" t="inlineStr"/>
      <c r="H1" t="inlineStr"/>
    </row>
    <row r="3">
      <c r="A3" s="8" t="inlineStr">
        <is>
          <t>Componente</t>
        </is>
      </c>
      <c r="B3" s="8" t="inlineStr">
        <is>
          <t>Especificação (baseline Rev E)</t>
        </is>
      </c>
      <c r="C3" s="8" t="inlineStr">
        <is>
          <t>Qtd</t>
        </is>
      </c>
      <c r="D3" s="8" t="inlineStr">
        <is>
          <t>Un</t>
        </is>
      </c>
      <c r="E3" s="8" t="inlineStr">
        <is>
          <t>Moeda</t>
        </is>
      </c>
      <c r="F3" s="8" t="inlineStr">
        <is>
          <t>Preço unit.</t>
        </is>
      </c>
      <c r="G3" s="8" t="inlineStr">
        <is>
          <t>Fonte e data</t>
        </is>
      </c>
      <c r="H3" s="8" t="inlineStr">
        <is>
          <t>Total (R$)</t>
        </is>
      </c>
    </row>
    <row r="4">
      <c r="A4" t="inlineStr">
        <is>
          <t>Motor-roda integrado</t>
        </is>
      </c>
      <c r="B4" s="17" t="inlineStr">
        <is>
          <t>ElectroCraft MPW86-185V48-1000-S020 (com freio)</t>
        </is>
      </c>
      <c r="C4" t="n">
        <v>4</v>
      </c>
      <c r="D4" t="inlineStr">
        <is>
          <t>un</t>
        </is>
      </c>
      <c r="E4" t="inlineStr">
        <is>
          <t>USD</t>
        </is>
      </c>
      <c r="F4" s="16" t="inlineStr"/>
      <c r="G4" s="17" t="inlineStr">
        <is>
          <t>Catálogo marca "Contact Sales" — exige RFQ</t>
        </is>
      </c>
      <c r="H4" s="4">
        <f>IF(F4="","",IF(E4="USD",C4*F4*$B$1,C4*F4))</f>
        <v/>
      </c>
    </row>
    <row r="5">
      <c r="A5" t="inlineStr">
        <is>
          <t>Driver de motor</t>
        </is>
      </c>
      <c r="B5" s="17" t="inlineStr">
        <is>
          <t>ElectroCraft CPP-A24V80</t>
        </is>
      </c>
      <c r="C5" t="n">
        <v>4</v>
      </c>
      <c r="D5" t="inlineStr">
        <is>
          <t>un</t>
        </is>
      </c>
      <c r="E5" t="inlineStr">
        <is>
          <t>USD</t>
        </is>
      </c>
      <c r="F5" s="16" t="inlineStr"/>
      <c r="G5" s="17" t="inlineStr">
        <is>
          <t>RFQ com o mesmo fabricante</t>
        </is>
      </c>
      <c r="H5" s="4">
        <f>IF(F5="","",IF(E5="USD",C5*F5*$B$1,C5*F5))</f>
        <v/>
      </c>
    </row>
    <row r="6">
      <c r="A6" t="inlineStr">
        <is>
          <t>Câmera RGB-D</t>
        </is>
      </c>
      <c r="B6" s="17" t="inlineStr">
        <is>
          <t>Luxonis OAK-D Pro W PoE</t>
        </is>
      </c>
      <c r="C6" t="n">
        <v>8</v>
      </c>
      <c r="D6" t="inlineStr">
        <is>
          <t>un</t>
        </is>
      </c>
      <c r="E6" t="inlineStr">
        <is>
          <t>USD</t>
        </is>
      </c>
      <c r="F6" s="16" t="n">
        <v>649</v>
      </c>
      <c r="G6" s="17" t="inlineStr">
        <is>
          <t>shop.luxonis.com, consultado em 21/09/2026 — preço de lista, sem frete nem imposto</t>
        </is>
      </c>
      <c r="H6" s="4">
        <f>IF(F6="","",IF(E6="USD",C6*F6*$B$1,C6*F6))</f>
        <v/>
      </c>
    </row>
    <row r="7">
      <c r="A7" t="inlineStr">
        <is>
          <t>LiDAR 3D</t>
        </is>
      </c>
      <c r="B7" s="17" t="inlineStr">
        <is>
          <t>Livox Mid-360</t>
        </is>
      </c>
      <c r="C7" t="n">
        <v>1</v>
      </c>
      <c r="D7" t="inlineStr">
        <is>
          <t>un</t>
        </is>
      </c>
      <c r="E7" t="inlineStr">
        <is>
          <t>USD</t>
        </is>
      </c>
      <c r="F7" s="16" t="inlineStr"/>
      <c r="G7" s="17" t="inlineStr">
        <is>
          <t>Revendedores divergem de centenas a US$ 3.800 — cotar com distribuidor oficial</t>
        </is>
      </c>
      <c r="H7" s="4">
        <f>IF(F7="","",IF(E7="USD",C7*F7*$B$1,C7*F7))</f>
        <v/>
      </c>
    </row>
    <row r="8">
      <c r="A8" t="inlineStr">
        <is>
          <t>Computador</t>
        </is>
      </c>
      <c r="B8" s="17" t="inlineStr">
        <is>
          <t>NVIDIA Jetson Orin NX 16 GB (módulo)</t>
        </is>
      </c>
      <c r="C8" t="n">
        <v>1</v>
      </c>
      <c r="D8" t="inlineStr">
        <is>
          <t>un</t>
        </is>
      </c>
      <c r="E8" t="inlineStr">
        <is>
          <t>USD</t>
        </is>
      </c>
      <c r="F8" s="16" t="inlineStr"/>
      <c r="G8" s="17" t="inlineStr">
        <is>
          <t>Referência pública antiga: US$ 599 em volume de 1.000 un (2022) — cotar atual</t>
        </is>
      </c>
      <c r="H8" s="4">
        <f>IF(F8="","",IF(E8="USD",C8*F8*$B$1,C8*F8))</f>
        <v/>
      </c>
    </row>
    <row r="9">
      <c r="A9" t="inlineStr">
        <is>
          <t>GNSS RTK</t>
        </is>
      </c>
      <c r="B9" s="17" t="inlineStr">
        <is>
          <t>u-blox ZED-F9P + antena</t>
        </is>
      </c>
      <c r="C9" t="n">
        <v>1</v>
      </c>
      <c r="D9" t="inlineStr">
        <is>
          <t>jg</t>
        </is>
      </c>
      <c r="E9" t="inlineStr">
        <is>
          <t>USD</t>
        </is>
      </c>
      <c r="F9" s="16" t="inlineStr"/>
      <c r="G9" s="17" t="inlineStr">
        <is>
          <t>Cotar com distribuidor (módulo + antena)</t>
        </is>
      </c>
      <c r="H9" s="4">
        <f>IF(F9="","",IF(E9="USD",C9*F9*$B$1,C9*F9))</f>
        <v/>
      </c>
    </row>
    <row r="10">
      <c r="A10" t="inlineStr">
        <is>
          <t>IMU</t>
        </is>
      </c>
      <c r="B10" s="17" t="inlineStr">
        <is>
          <t>Xsens MTi-630</t>
        </is>
      </c>
      <c r="C10" t="n">
        <v>1</v>
      </c>
      <c r="D10" t="inlineStr">
        <is>
          <t>un</t>
        </is>
      </c>
      <c r="E10" t="inlineStr">
        <is>
          <t>USD</t>
        </is>
      </c>
      <c r="F10" s="16" t="inlineStr"/>
      <c r="G10" s="17" t="inlineStr">
        <is>
          <t>Cotar com representante</t>
        </is>
      </c>
      <c r="H10" s="4">
        <f>IF(F10="","",IF(E10="USD",C10*F10*$B$1,C10*F10))</f>
        <v/>
      </c>
    </row>
    <row r="11">
      <c r="A11" t="inlineStr">
        <is>
          <t>Célula de bateria</t>
        </is>
      </c>
      <c r="B11" s="17" t="inlineStr">
        <is>
          <t>EVE LF100LA (LiFePO4 3,2 V 100 Ah)</t>
        </is>
      </c>
      <c r="C11" t="n">
        <v>16</v>
      </c>
      <c r="D11" t="inlineStr">
        <is>
          <t>un</t>
        </is>
      </c>
      <c r="E11" t="inlineStr">
        <is>
          <t>USD</t>
        </is>
      </c>
      <c r="F11" s="16" t="inlineStr"/>
      <c r="G11" s="17" t="inlineStr">
        <is>
          <t>Cotar com integrador de baterias</t>
        </is>
      </c>
      <c r="H11" s="4">
        <f>IF(F11="","",IF(E11="USD",C11*F11*$B$1,C11*F11))</f>
        <v/>
      </c>
    </row>
    <row r="12">
      <c r="A12" t="inlineStr">
        <is>
          <t>BMS + contator + pré-carga</t>
        </is>
      </c>
      <c r="B12" s="17" t="inlineStr">
        <is>
          <t>A definir pela engenharia elétrica</t>
        </is>
      </c>
      <c r="C12" t="n">
        <v>1</v>
      </c>
      <c r="D12" t="inlineStr">
        <is>
          <t>jg</t>
        </is>
      </c>
      <c r="E12" t="inlineStr">
        <is>
          <t>BRL</t>
        </is>
      </c>
      <c r="F12" s="16" t="inlineStr"/>
      <c r="G12" s="17" t="inlineStr">
        <is>
          <t>Especificação ainda não fechada</t>
        </is>
      </c>
      <c r="H12" s="4">
        <f>IF(F12="","",IF(E12="USD",C12*F12*$B$1,C12*F12))</f>
        <v/>
      </c>
    </row>
    <row r="13">
      <c r="A13" t="inlineStr">
        <is>
          <t>Caixa da bateria</t>
        </is>
      </c>
      <c r="B13" s="17" t="inlineStr">
        <is>
          <t>A definir — desenho inexistente</t>
        </is>
      </c>
      <c r="C13" t="n">
        <v>1</v>
      </c>
      <c r="D13" t="inlineStr">
        <is>
          <t>un</t>
        </is>
      </c>
      <c r="E13" t="inlineStr">
        <is>
          <t>BRL</t>
        </is>
      </c>
      <c r="F13" s="16" t="inlineStr"/>
      <c r="G13" s="17" t="inlineStr">
        <is>
          <t>Depende do arranjo das 16 células</t>
        </is>
      </c>
      <c r="H13" s="4">
        <f>IF(F13="","",IF(E13="USD",C13*F13*$B$1,C13*F13))</f>
        <v/>
      </c>
    </row>
    <row r="14">
      <c r="A14" t="inlineStr">
        <is>
          <t>DC/DC + carregador onboard</t>
        </is>
      </c>
      <c r="B14" s="17" t="inlineStr">
        <is>
          <t>A definir</t>
        </is>
      </c>
      <c r="C14" t="n">
        <v>1</v>
      </c>
      <c r="D14" t="inlineStr">
        <is>
          <t>jg</t>
        </is>
      </c>
      <c r="E14" t="inlineStr">
        <is>
          <t>BRL</t>
        </is>
      </c>
      <c r="F14" s="16" t="inlineStr"/>
      <c r="G14" s="17" t="inlineStr">
        <is>
          <t>Carregador de 2,5 kW na baseline</t>
        </is>
      </c>
      <c r="H14" s="4">
        <f>IF(F14="","",IF(E14="USD",C14*F14*$B$1,C14*F14))</f>
        <v/>
      </c>
    </row>
    <row r="15">
      <c r="A15" t="inlineStr">
        <is>
          <t>Microcontrolador de segurança</t>
        </is>
      </c>
      <c r="B15" s="17" t="inlineStr">
        <is>
          <t>A definir</t>
        </is>
      </c>
      <c r="C15" t="n">
        <v>1</v>
      </c>
      <c r="D15" t="inlineStr">
        <is>
          <t>un</t>
        </is>
      </c>
      <c r="E15" t="inlineStr">
        <is>
          <t>BRL</t>
        </is>
      </c>
      <c r="F15" s="16" t="inlineStr"/>
      <c r="G15" s="17" t="inlineStr">
        <is>
          <t>Cadeia de E-STOP independente</t>
        </is>
      </c>
      <c r="H15" s="4">
        <f>IF(F15="","",IF(E15="USD",C15*F15*$B$1,C15*F15))</f>
        <v/>
      </c>
    </row>
    <row r="16">
      <c r="A16" t="inlineStr">
        <is>
          <t>Botão de emergência</t>
        </is>
      </c>
      <c r="B16" s="17" t="inlineStr">
        <is>
          <t>Ø22 mm IP65, contato NF</t>
        </is>
      </c>
      <c r="C16" t="n">
        <v>1</v>
      </c>
      <c r="D16" t="inlineStr">
        <is>
          <t>un</t>
        </is>
      </c>
      <c r="E16" t="inlineStr">
        <is>
          <t>BRL</t>
        </is>
      </c>
      <c r="F16" s="16" t="inlineStr"/>
      <c r="G16" s="17" t="inlineStr">
        <is>
          <t>Componente comercial</t>
        </is>
      </c>
      <c r="H16" s="4">
        <f>IF(F16="","",IF(E16="USD",C16*F16*$B$1,C16*F16))</f>
        <v/>
      </c>
    </row>
    <row r="17">
      <c r="A17" t="inlineStr">
        <is>
          <t>Rádio RTK + rádio de parada</t>
        </is>
      </c>
      <c r="B17" s="17" t="inlineStr">
        <is>
          <t>A definir</t>
        </is>
      </c>
      <c r="C17" t="n">
        <v>1</v>
      </c>
      <c r="D17" t="inlineStr">
        <is>
          <t>jg</t>
        </is>
      </c>
      <c r="E17" t="inlineStr">
        <is>
          <t>BRL</t>
        </is>
      </c>
      <c r="F17" s="16" t="inlineStr"/>
      <c r="G17" s="17" t="inlineStr">
        <is>
          <t>Dois canais independentes</t>
        </is>
      </c>
      <c r="H17" s="4">
        <f>IF(F17="","",IF(E17="USD",C17*F17*$B$1,C17*F17))</f>
        <v/>
      </c>
    </row>
    <row r="18">
      <c r="A18" t="inlineStr">
        <is>
          <t>Faróis LED</t>
        </is>
      </c>
      <c r="B18" s="17" t="inlineStr">
        <is>
          <t>A definir — Ø20 mm</t>
        </is>
      </c>
      <c r="C18" t="n">
        <v>2</v>
      </c>
      <c r="D18" t="inlineStr">
        <is>
          <t>un</t>
        </is>
      </c>
      <c r="E18" t="inlineStr">
        <is>
          <t>BRL</t>
        </is>
      </c>
      <c r="F18" s="16" t="inlineStr"/>
      <c r="G18" s="17" t="inlineStr">
        <is>
          <t>Modelo não especificado na baseline</t>
        </is>
      </c>
      <c r="H18" s="4">
        <f>IF(F18="","",IF(E18="USD",C18*F18*$B$1,C18*F18))</f>
        <v/>
      </c>
    </row>
    <row r="19">
      <c r="A19" t="inlineStr">
        <is>
          <t>Cabeamento de potência</t>
        </is>
      </c>
      <c r="B19" s="17" t="inlineStr">
        <is>
          <t>Cabos, conectores e passa-cabos</t>
        </is>
      </c>
      <c r="C19" t="n">
        <v>1</v>
      </c>
      <c r="D19" t="inlineStr">
        <is>
          <t>jg</t>
        </is>
      </c>
      <c r="E19" t="inlineStr">
        <is>
          <t>BRL</t>
        </is>
      </c>
      <c r="F19" s="16" t="inlineStr"/>
      <c r="G19" s="17" t="inlineStr">
        <is>
          <t>Baseline estima 3,0 kg</t>
        </is>
      </c>
      <c r="H19" s="4">
        <f>IF(F19="","",IF(E19="USD",C19*F19*$B$1,C19*F19))</f>
        <v/>
      </c>
    </row>
    <row r="20">
      <c r="A20" t="inlineStr">
        <is>
          <t>Cabeamento de sensores</t>
        </is>
      </c>
      <c r="B20" s="17" t="inlineStr">
        <is>
          <t>PoE, USB e alimentação</t>
        </is>
      </c>
      <c r="C20" t="n">
        <v>1</v>
      </c>
      <c r="D20" t="inlineStr">
        <is>
          <t>jg</t>
        </is>
      </c>
      <c r="E20" t="inlineStr">
        <is>
          <t>BRL</t>
        </is>
      </c>
      <c r="F20" s="16" t="inlineStr"/>
      <c r="G20" s="17" t="inlineStr">
        <is>
          <t>Baseline estima 1,0 kg</t>
        </is>
      </c>
      <c r="H20" s="4">
        <f>IF(F20="","",IF(E20="USD",C20*F20*$B$1,C20*F20))</f>
        <v/>
      </c>
    </row>
    <row r="22">
      <c r="A22" s="5" t="inlineStr">
        <is>
          <t>TOTAL (sem impostos e frete de importação)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6">
        <f>SUM(H4:H20)</f>
        <v/>
      </c>
    </row>
    <row r="23">
      <c r="A23" t="inlineStr">
        <is>
          <t>Impostos e frete de importação</t>
        </is>
      </c>
      <c r="B23" t="inlineStr"/>
      <c r="C23" t="inlineStr"/>
      <c r="D23" t="inlineStr"/>
      <c r="E23" t="inlineStr"/>
      <c r="F23" t="inlineStr"/>
      <c r="G23" t="inlineStr">
        <is>
          <t>A DEFINIR com despachante</t>
        </is>
      </c>
      <c r="H23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4" customWidth="1" min="4" max="4"/>
    <col width="16" customWidth="1" min="5" max="5"/>
    <col width="40" customWidth="1" min="6" max="6"/>
    <col width="14" customWidth="1" min="7" max="7"/>
  </cols>
  <sheetData>
    <row r="1" ht="30" customHeight="1">
      <c r="A1" s="8" t="inlineStr">
        <is>
          <t>Item</t>
        </is>
      </c>
      <c r="B1" s="8" t="inlineStr">
        <is>
          <t>Descrição</t>
        </is>
      </c>
      <c r="C1" s="8" t="inlineStr">
        <is>
          <t>Quantidade</t>
        </is>
      </c>
      <c r="D1" s="8" t="inlineStr">
        <is>
          <t>Situação</t>
        </is>
      </c>
      <c r="E1" s="8" t="inlineStr">
        <is>
          <t>Preço unit. (R$)</t>
        </is>
      </c>
      <c r="F1" s="8" t="inlineStr">
        <is>
          <t>Observação</t>
        </is>
      </c>
      <c r="G1" s="8" t="inlineStr">
        <is>
          <t>Total (R$)</t>
        </is>
      </c>
    </row>
    <row r="2">
      <c r="A2" t="inlineStr">
        <is>
          <t>Base — estrutura</t>
        </is>
      </c>
      <c r="B2" s="17" t="inlineStr">
        <is>
          <t>Perfil metálico da plataforma e do abrigo</t>
        </is>
      </c>
      <c r="C2" t="inlineStr">
        <is>
          <t>A DEFINIR</t>
        </is>
      </c>
      <c r="D2" t="inlineStr">
        <is>
          <t>A DEFINIR</t>
        </is>
      </c>
      <c r="E2" s="16" t="inlineStr"/>
      <c r="F2" s="17" t="inlineStr">
        <is>
          <t>Depende das 8 decisões de requisito (documento de conceito)</t>
        </is>
      </c>
      <c r="G2" t="inlineStr"/>
    </row>
    <row r="3">
      <c r="A3" t="inlineStr">
        <is>
          <t>Base — piso e rampa</t>
        </is>
      </c>
      <c r="B3" s="17" t="inlineStr">
        <is>
          <t>Plataforma nivelada com rampa ≤ 10°</t>
        </is>
      </c>
      <c r="C3" t="inlineStr">
        <is>
          <t>A DEFINIR</t>
        </is>
      </c>
      <c r="D3" t="inlineStr">
        <is>
          <t>A DEFINIR</t>
        </is>
      </c>
      <c r="E3" s="16" t="inlineStr"/>
      <c r="F3" s="17" t="inlineStr">
        <is>
          <t>Vão livre de 208 mm</t>
        </is>
      </c>
      <c r="G3" t="inlineStr"/>
    </row>
    <row r="4">
      <c r="A4" t="inlineStr">
        <is>
          <t>Base — guias de alinhamento</t>
        </is>
      </c>
      <c r="B4" s="17" t="inlineStr">
        <is>
          <t>Duas guias em V</t>
        </is>
      </c>
      <c r="C4" t="inlineStr">
        <is>
          <t>A DEFINIR</t>
        </is>
      </c>
      <c r="D4" t="inlineStr">
        <is>
          <t>A DEFINIR</t>
        </is>
      </c>
      <c r="E4" s="16" t="inlineStr"/>
      <c r="F4" s="17" t="inlineStr">
        <is>
          <t>Corrigem ±60 mm de erro lateral</t>
        </is>
      </c>
      <c r="G4" t="inlineStr"/>
    </row>
    <row r="5">
      <c r="A5" t="inlineStr">
        <is>
          <t>Base — acoplamento de recarga</t>
        </is>
      </c>
      <c r="B5" s="17" t="inlineStr">
        <is>
          <t>Conector manual, contato ou indutivo</t>
        </is>
      </c>
      <c r="C5" t="inlineStr">
        <is>
          <t>A DEFINIR</t>
        </is>
      </c>
      <c r="D5" t="inlineStr">
        <is>
          <t>A DEFINIR</t>
        </is>
      </c>
      <c r="E5" s="16" t="inlineStr"/>
      <c r="F5" s="17" t="inlineStr">
        <is>
          <t>Decisão 1 do conceito — define tudo o resto</t>
        </is>
      </c>
      <c r="G5" t="inlineStr"/>
    </row>
    <row r="6">
      <c r="A6" t="inlineStr">
        <is>
          <t>Base — carregador</t>
        </is>
      </c>
      <c r="B6" s="17" t="inlineStr">
        <is>
          <t>Gabinete IP54 ventilado, 2,5 kW</t>
        </is>
      </c>
      <c r="C6" t="inlineStr">
        <is>
          <t>A DEFINIR</t>
        </is>
      </c>
      <c r="D6" t="inlineStr">
        <is>
          <t>A DEFINIR</t>
        </is>
      </c>
      <c r="E6" s="16" t="inlineStr"/>
      <c r="F6" s="17" t="inlineStr">
        <is>
          <t>Tempo de recarga da baseline</t>
        </is>
      </c>
      <c r="G6" t="inlineStr"/>
    </row>
    <row r="7">
      <c r="A7" t="inlineStr">
        <is>
          <t>Base — quadro elétrico e proteções</t>
        </is>
      </c>
      <c r="B7" s="17" t="inlineStr">
        <is>
          <t>Disjuntor, DPS, aterramento</t>
        </is>
      </c>
      <c r="C7" t="inlineStr">
        <is>
          <t>A DEFINIR</t>
        </is>
      </c>
      <c r="D7" t="inlineStr">
        <is>
          <t>A DEFINIR</t>
        </is>
      </c>
      <c r="E7" s="16" t="inlineStr"/>
      <c r="F7" s="17" t="inlineStr">
        <is>
          <t>Projeto elétrico inexistente</t>
        </is>
      </c>
      <c r="G7" t="inlineStr"/>
    </row>
    <row r="8">
      <c r="A8" t="inlineStr">
        <is>
          <t>Base — fundação e fixação</t>
        </is>
      </c>
      <c r="B8" s="17" t="inlineStr">
        <is>
          <t>4 sapatas ajustáveis + ancoragem</t>
        </is>
      </c>
      <c r="C8" t="inlineStr">
        <is>
          <t>A DEFINIR</t>
        </is>
      </c>
      <c r="D8" t="inlineStr">
        <is>
          <t>A DEFINIR</t>
        </is>
      </c>
      <c r="E8" s="16" t="inlineStr"/>
      <c r="F8" s="17" t="inlineStr">
        <is>
          <t>Terreno irregular</t>
        </is>
      </c>
      <c r="G8" t="inlineStr"/>
    </row>
    <row r="9">
      <c r="A9" t="inlineStr">
        <is>
          <t>Base — energia solar (opcional)</t>
        </is>
      </c>
      <c r="B9" s="17" t="inlineStr">
        <is>
          <t>Painéis, controlador e banco</t>
        </is>
      </c>
      <c r="C9" t="inlineStr">
        <is>
          <t>A DEFINIR</t>
        </is>
      </c>
      <c r="D9" t="inlineStr">
        <is>
          <t>A DEFINIR</t>
        </is>
      </c>
      <c r="E9" s="16" t="inlineStr"/>
      <c r="F9" s="17" t="inlineStr">
        <is>
          <t>A baseline descartou solar no rover; na base é decisão nova</t>
        </is>
      </c>
      <c r="G9" t="inlineStr"/>
    </row>
    <row r="10">
      <c r="A10" t="inlineStr">
        <is>
          <t>Poste — estrutura</t>
        </is>
      </c>
      <c r="B10" s="17" t="inlineStr">
        <is>
          <t>Tubo ou treliça, 4 m livres</t>
        </is>
      </c>
      <c r="C10" t="inlineStr">
        <is>
          <t>A DEFINIR</t>
        </is>
      </c>
      <c r="D10" t="inlineStr">
        <is>
          <t>A DEFINIR</t>
        </is>
      </c>
      <c r="E10" s="16" t="inlineStr"/>
      <c r="F10" s="17" t="inlineStr">
        <is>
          <t>Cálculo de vento não feito</t>
        </is>
      </c>
      <c r="G10" t="inlineStr"/>
    </row>
    <row r="11">
      <c r="A11" t="inlineStr">
        <is>
          <t>Poste — fundação</t>
        </is>
      </c>
      <c r="B11" s="17" t="inlineStr">
        <is>
          <t>Bloco de concreto com chumbadores</t>
        </is>
      </c>
      <c r="C11" t="inlineStr">
        <is>
          <t>A DEFINIR</t>
        </is>
      </c>
      <c r="D11" t="inlineStr">
        <is>
          <t>A DEFINIR</t>
        </is>
      </c>
      <c r="E11" s="16" t="inlineStr"/>
      <c r="F11" s="17" t="inlineStr">
        <is>
          <t>Depende do solo</t>
        </is>
      </c>
      <c r="G11" t="inlineStr"/>
    </row>
    <row r="12">
      <c r="A12" t="inlineStr">
        <is>
          <t>Poste — aterramento e SPDA</t>
        </is>
      </c>
      <c r="B12" s="17" t="inlineStr">
        <is>
          <t>Projeto de profissional habilitado</t>
        </is>
      </c>
      <c r="C12" t="inlineStr">
        <is>
          <t>A DEFINIR</t>
        </is>
      </c>
      <c r="D12" t="inlineStr">
        <is>
          <t>A DEFINIR</t>
        </is>
      </c>
      <c r="E12" s="16" t="inlineStr"/>
      <c r="F12" s="17" t="inlineStr">
        <is>
          <t>Obrigatório e não orçável sem projeto</t>
        </is>
      </c>
      <c r="G12" t="inlineStr"/>
    </row>
    <row r="13">
      <c r="A13" t="inlineStr">
        <is>
          <t>Poste — suportes e caixas</t>
        </is>
      </c>
      <c r="B13" s="17" t="inlineStr">
        <is>
          <t>Antena base RTK, rádio, caixa IP65</t>
        </is>
      </c>
      <c r="C13" t="inlineStr">
        <is>
          <t>A DEFINIR</t>
        </is>
      </c>
      <c r="D13" t="inlineStr">
        <is>
          <t>A DEFINIR</t>
        </is>
      </c>
      <c r="E13" s="16" t="inlineStr"/>
      <c r="F13" s="17" t="inlineStr"/>
      <c r="G13" t="inlineStr"/>
    </row>
    <row r="14">
      <c r="A14" t="inlineStr">
        <is>
          <t>Poste — instalação</t>
        </is>
      </c>
      <c r="B14" s="17" t="inlineStr">
        <is>
          <t>Mão de obra e içamento</t>
        </is>
      </c>
      <c r="C14" t="inlineStr">
        <is>
          <t>A DEFINIR</t>
        </is>
      </c>
      <c r="D14" t="inlineStr">
        <is>
          <t>A DEFINIR</t>
        </is>
      </c>
      <c r="E14" s="16" t="inlineStr"/>
      <c r="F14" s="17" t="inlineStr"/>
      <c r="G14" t="inlineStr"/>
    </row>
    <row r="15">
      <c r="A15" t="inlineStr">
        <is>
          <t>Projeto de engenharia das bases</t>
        </is>
      </c>
      <c r="B15" s="17" t="inlineStr">
        <is>
          <t>Caderno VTX-RV3-BASE-E, inexistente</t>
        </is>
      </c>
      <c r="C15" t="inlineStr">
        <is>
          <t>A DEFINIR</t>
        </is>
      </c>
      <c r="D15" t="inlineStr">
        <is>
          <t>A DEFINIR</t>
        </is>
      </c>
      <c r="E15" s="16" t="inlineStr"/>
      <c r="F15" s="17" t="inlineStr">
        <is>
          <t>Precisa ser feito antes de qualquer cotação</t>
        </is>
      </c>
      <c r="G15" t="inlineStr"/>
    </row>
    <row r="17">
      <c r="A17" s="19" t="inlineStr">
        <is>
          <t>A base de recarga e o poste NÃO têm projeto: não há dimensão, material nem quantidade na baseline Rev E.</t>
        </is>
      </c>
    </row>
    <row r="18">
      <c r="A18" s="2" t="inlineStr">
        <is>
          <t>Orçar só depois de responder às 8 decisões de requisito do documento VTX-RV3-BASE-E-CONCEITO.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6" customWidth="1" min="3" max="3"/>
    <col width="6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2" t="inlineStr">
        <is>
          <t>Transcrição de VALTEXA-ROVER-V3-BOM-Links-Precos.xlsx · 21/09/2026 — valores de produto, sem imposto de importação</t>
        </is>
      </c>
    </row>
    <row r="3">
      <c r="A3" s="8" t="inlineStr">
        <is>
          <t>Categoria</t>
        </is>
      </c>
      <c r="B3" s="8" t="inlineStr">
        <is>
          <t>Item</t>
        </is>
      </c>
      <c r="C3" s="8" t="inlineStr">
        <is>
          <t>Fornecedor</t>
        </is>
      </c>
      <c r="D3" s="8" t="inlineStr">
        <is>
          <t>Qtd</t>
        </is>
      </c>
      <c r="E3" s="8" t="inlineStr">
        <is>
          <t>Unit. (R$)</t>
        </is>
      </c>
      <c r="F3" s="8" t="inlineStr">
        <is>
          <t>Total (R$)</t>
        </is>
      </c>
      <c r="G3" s="8" t="inlineStr">
        <is>
          <t>Origem</t>
        </is>
      </c>
      <c r="H3" s="8" t="inlineStr">
        <is>
          <t>Na compra recomendada?</t>
        </is>
      </c>
    </row>
    <row r="4">
      <c r="A4" t="inlineStr">
        <is>
          <t>TRAÇÃO</t>
        </is>
      </c>
      <c r="B4" t="inlineStr">
        <is>
          <t>Motor-roda 48V AGV 8" ZLTECH ZLLG80ASM800</t>
        </is>
      </c>
      <c r="C4" t="inlineStr">
        <is>
          <t>AliExpress / ZLTECH</t>
        </is>
      </c>
      <c r="D4" t="n">
        <v>4</v>
      </c>
      <c r="E4" s="4" t="n">
        <v>2215.34</v>
      </c>
      <c r="F4" s="4" t="n">
        <v>8861.360000000001</v>
      </c>
      <c r="G4" t="inlineStr">
        <is>
          <t>IMPORTADO</t>
        </is>
      </c>
      <c r="H4" t="inlineStr">
        <is>
          <t>sim</t>
        </is>
      </c>
    </row>
    <row r="5">
      <c r="A5" s="20" t="inlineStr">
        <is>
          <t>TRAÇÃO</t>
        </is>
      </c>
      <c r="B5" s="20" t="inlineStr">
        <is>
          <t>Motor-roda ElectroCraft MPW86 com freio</t>
        </is>
      </c>
      <c r="C5" s="20" t="inlineStr">
        <is>
          <t>ElectroCraft (Contact Sales)</t>
        </is>
      </c>
      <c r="D5" s="20" t="n">
        <v>4</v>
      </c>
      <c r="E5" s="21" t="n">
        <v>6425</v>
      </c>
      <c r="F5" s="21" t="n">
        <v>25700</v>
      </c>
      <c r="G5" s="20" t="inlineStr">
        <is>
          <t>IMPORTADO</t>
        </is>
      </c>
      <c r="H5" s="20" t="inlineStr">
        <is>
          <t>alternativa</t>
        </is>
      </c>
    </row>
    <row r="6">
      <c r="A6" t="inlineStr">
        <is>
          <t>TRAÇÃO</t>
        </is>
      </c>
      <c r="B6" t="inlineStr">
        <is>
          <t>Driver BLDC Roboteq SBLG2360TS</t>
        </is>
      </c>
      <c r="C6" t="inlineStr">
        <is>
          <t>Roboteq</t>
        </is>
      </c>
      <c r="D6" t="n">
        <v>4</v>
      </c>
      <c r="E6" s="4" t="n">
        <v>3366.7</v>
      </c>
      <c r="F6" s="4" t="n">
        <v>13466.8</v>
      </c>
      <c r="G6" t="inlineStr">
        <is>
          <t>IMPORTADO</t>
        </is>
      </c>
      <c r="H6" t="inlineStr">
        <is>
          <t>sim</t>
        </is>
      </c>
    </row>
    <row r="7">
      <c r="A7" t="inlineStr">
        <is>
          <t>ENERGIA</t>
        </is>
      </c>
      <c r="B7" t="inlineStr">
        <is>
          <t>Célula LiFePO4 EVE 3,2 V 105 Ah</t>
        </is>
      </c>
      <c r="C7" t="inlineStr">
        <is>
          <t>Buyers Energy (BR)</t>
        </is>
      </c>
      <c r="D7" t="n">
        <v>16</v>
      </c>
      <c r="E7" s="4" t="n">
        <v>582</v>
      </c>
      <c r="F7" s="4" t="n">
        <v>9312</v>
      </c>
      <c r="G7" t="inlineStr">
        <is>
          <t>NACIONAL</t>
        </is>
      </c>
      <c r="H7" t="inlineStr">
        <is>
          <t>sim</t>
        </is>
      </c>
    </row>
    <row r="8">
      <c r="A8" s="20" t="inlineStr">
        <is>
          <t>ENERGIA</t>
        </is>
      </c>
      <c r="B8" s="20" t="inlineStr">
        <is>
          <t>Célula LiFePO4 100 Ah (alternativa)</t>
        </is>
      </c>
      <c r="C8" s="20" t="inlineStr">
        <is>
          <t>Mercado Livre</t>
        </is>
      </c>
      <c r="D8" s="20" t="n">
        <v>16</v>
      </c>
      <c r="E8" s="21" t="n">
        <v>399</v>
      </c>
      <c r="F8" s="21" t="n">
        <v>6384</v>
      </c>
      <c r="G8" s="20" t="inlineStr">
        <is>
          <t>NACIONAL</t>
        </is>
      </c>
      <c r="H8" s="20" t="inlineStr">
        <is>
          <t>alternativa</t>
        </is>
      </c>
    </row>
    <row r="9">
      <c r="A9" t="inlineStr">
        <is>
          <t>ENERGIA</t>
        </is>
      </c>
      <c r="B9" t="inlineStr">
        <is>
          <t>BMS Daly Smart 16S 100 A com CAN</t>
        </is>
      </c>
      <c r="C9" t="inlineStr">
        <is>
          <t>Amazon BR</t>
        </is>
      </c>
      <c r="D9" t="n">
        <v>1</v>
      </c>
      <c r="E9" s="4" t="n">
        <v>747.21</v>
      </c>
      <c r="F9" s="4" t="n">
        <v>747.21</v>
      </c>
      <c r="G9" t="inlineStr">
        <is>
          <t>NACIONAL</t>
        </is>
      </c>
      <c r="H9" t="inlineStr">
        <is>
          <t>sim</t>
        </is>
      </c>
    </row>
    <row r="10">
      <c r="A10" t="inlineStr">
        <is>
          <t>ENERGIA</t>
        </is>
      </c>
      <c r="B10" t="inlineStr">
        <is>
          <t>Conversor DC/DC 48→12 V 30 A</t>
        </is>
      </c>
      <c r="C10" t="inlineStr">
        <is>
          <t>Mercado Livre</t>
        </is>
      </c>
      <c r="D10" t="n">
        <v>1</v>
      </c>
      <c r="E10" s="4" t="n">
        <v>399.94</v>
      </c>
      <c r="F10" s="4" t="n">
        <v>399.94</v>
      </c>
      <c r="G10" t="inlineStr">
        <is>
          <t>NACIONAL</t>
        </is>
      </c>
      <c r="H10" t="inlineStr">
        <is>
          <t>sim</t>
        </is>
      </c>
    </row>
    <row r="11">
      <c r="A11" t="inlineStr">
        <is>
          <t>ENERGIA</t>
        </is>
      </c>
      <c r="B11" t="inlineStr">
        <is>
          <t>Carregador LiFePO4 48 V 30 A</t>
        </is>
      </c>
      <c r="C11" t="inlineStr">
        <is>
          <t>SuperBat / Litime</t>
        </is>
      </c>
      <c r="D11" t="n">
        <v>1</v>
      </c>
      <c r="E11" s="4" t="n">
        <v>1189</v>
      </c>
      <c r="F11" s="4" t="n">
        <v>1189</v>
      </c>
      <c r="G11" t="inlineStr">
        <is>
          <t>NACIONAL</t>
        </is>
      </c>
      <c r="H11" t="inlineStr">
        <is>
          <t>sim</t>
        </is>
      </c>
    </row>
    <row r="12">
      <c r="A12" t="inlineStr">
        <is>
          <t>ENERGIA</t>
        </is>
      </c>
      <c r="B12" t="inlineStr">
        <is>
          <t>Contator DC TE Kilovac LEV200</t>
        </is>
      </c>
      <c r="C12" t="inlineStr">
        <is>
          <t>DigiKey</t>
        </is>
      </c>
      <c r="D12" t="n">
        <v>1</v>
      </c>
      <c r="E12" s="4" t="n">
        <v>771</v>
      </c>
      <c r="F12" s="4" t="n">
        <v>771</v>
      </c>
      <c r="G12" t="inlineStr">
        <is>
          <t>IMPORTADO</t>
        </is>
      </c>
      <c r="H12" t="inlineStr">
        <is>
          <t>sim</t>
        </is>
      </c>
    </row>
    <row r="13">
      <c r="A13" t="inlineStr">
        <is>
          <t>ENERGIA</t>
        </is>
      </c>
      <c r="B13" t="inlineStr">
        <is>
          <t>Fusíveis, disjuntor DC e pré-carga</t>
        </is>
      </c>
      <c r="C13" t="inlineStr">
        <is>
          <t>Mercado Elétrico</t>
        </is>
      </c>
      <c r="D13" t="n">
        <v>1</v>
      </c>
      <c r="E13" s="4" t="n">
        <v>617</v>
      </c>
      <c r="F13" s="4" t="n">
        <v>617</v>
      </c>
      <c r="G13" t="inlineStr">
        <is>
          <t>NACIONAL</t>
        </is>
      </c>
      <c r="H13" t="inlineStr">
        <is>
          <t>sim</t>
        </is>
      </c>
    </row>
    <row r="14">
      <c r="A14" t="inlineStr">
        <is>
          <t>SENSORES</t>
        </is>
      </c>
      <c r="B14" t="inlineStr">
        <is>
          <t>LiDAR Livox Mid-360 (importação direta)</t>
        </is>
      </c>
      <c r="C14" t="inlineStr">
        <is>
          <t>mylidarstore</t>
        </is>
      </c>
      <c r="D14" t="n">
        <v>1</v>
      </c>
      <c r="E14" s="4" t="n">
        <v>4626</v>
      </c>
      <c r="F14" s="4" t="n">
        <v>4626</v>
      </c>
      <c r="G14" t="inlineStr">
        <is>
          <t>IMPORTADO</t>
        </is>
      </c>
      <c r="H14" t="inlineStr">
        <is>
          <t>sim</t>
        </is>
      </c>
    </row>
    <row r="15">
      <c r="A15" s="20" t="inlineStr">
        <is>
          <t>SENSORES</t>
        </is>
      </c>
      <c r="B15" s="20" t="inlineStr">
        <is>
          <t>LiDAR Mid-360 no importador BR (não recomendado)</t>
        </is>
      </c>
      <c r="C15" s="20" t="inlineStr">
        <is>
          <t>Loja do Jangão</t>
        </is>
      </c>
      <c r="D15" s="20" t="n">
        <v>1</v>
      </c>
      <c r="E15" s="21" t="n">
        <v>19830.12</v>
      </c>
      <c r="F15" s="21" t="n">
        <v>19830.12</v>
      </c>
      <c r="G15" s="20" t="inlineStr">
        <is>
          <t>NACIONAL</t>
        </is>
      </c>
      <c r="H15" s="20" t="inlineStr">
        <is>
          <t>alternativa</t>
        </is>
      </c>
    </row>
    <row r="16">
      <c r="A16" t="inlineStr">
        <is>
          <t>SENSORES</t>
        </is>
      </c>
      <c r="B16" t="inlineStr">
        <is>
          <t>Câmera OAK-D Pro W PoE</t>
        </is>
      </c>
      <c r="C16" t="inlineStr">
        <is>
          <t>Luxonis</t>
        </is>
      </c>
      <c r="D16" t="n">
        <v>8</v>
      </c>
      <c r="E16" s="4" t="n">
        <v>3490.06</v>
      </c>
      <c r="F16" s="4" t="n">
        <v>27920.48</v>
      </c>
      <c r="G16" t="inlineStr">
        <is>
          <t>IMPORTADO</t>
        </is>
      </c>
      <c r="H16" t="inlineStr">
        <is>
          <t>sim</t>
        </is>
      </c>
    </row>
    <row r="17">
      <c r="A17" t="inlineStr">
        <is>
          <t>SENSORES</t>
        </is>
      </c>
      <c r="B17" t="inlineStr">
        <is>
          <t>GNSS RTK ZED-F9P + antena (kit)</t>
        </is>
      </c>
      <c r="C17" t="inlineStr">
        <is>
          <t>ArduSimple</t>
        </is>
      </c>
      <c r="D17" t="n">
        <v>1</v>
      </c>
      <c r="E17" s="4" t="n">
        <v>1181.6</v>
      </c>
      <c r="F17" s="4" t="n">
        <v>1181.6</v>
      </c>
      <c r="G17" t="inlineStr">
        <is>
          <t>IMPORTADO</t>
        </is>
      </c>
      <c r="H17" t="inlineStr">
        <is>
          <t>sim</t>
        </is>
      </c>
    </row>
    <row r="18">
      <c r="A18" t="inlineStr">
        <is>
          <t>SENSORES</t>
        </is>
      </c>
      <c r="B18" t="inlineStr">
        <is>
          <t>IMU Xsens MTi-630 (CAN)</t>
        </is>
      </c>
      <c r="C18" t="inlineStr">
        <is>
          <t>DigiKey</t>
        </is>
      </c>
      <c r="D18" t="n">
        <v>1</v>
      </c>
      <c r="E18" s="4" t="n">
        <v>5134.86</v>
      </c>
      <c r="F18" s="4" t="n">
        <v>5134.86</v>
      </c>
      <c r="G18" t="inlineStr">
        <is>
          <t>IMPORTADO</t>
        </is>
      </c>
      <c r="H18" t="inlineStr">
        <is>
          <t>sim</t>
        </is>
      </c>
    </row>
    <row r="19">
      <c r="A19" t="inlineStr">
        <is>
          <t>SENSORES</t>
        </is>
      </c>
      <c r="B19" t="inlineStr">
        <is>
          <t>Par de rádios RTK RFD900x</t>
        </is>
      </c>
      <c r="C19" t="inlineStr">
        <is>
          <t>IR-Lock</t>
        </is>
      </c>
      <c r="D19" t="n">
        <v>1</v>
      </c>
      <c r="E19" s="4" t="n">
        <v>1434.06</v>
      </c>
      <c r="F19" s="4" t="n">
        <v>1434.06</v>
      </c>
      <c r="G19" t="inlineStr">
        <is>
          <t>IMPORTADO</t>
        </is>
      </c>
      <c r="H19" t="inlineStr">
        <is>
          <t>sim</t>
        </is>
      </c>
    </row>
    <row r="20">
      <c r="A20" t="inlineStr">
        <is>
          <t>SENSORES</t>
        </is>
      </c>
      <c r="B20" t="inlineStr">
        <is>
          <t>E-STOP remoto sem fio industrial</t>
        </is>
      </c>
      <c r="C20" t="inlineStr">
        <is>
          <t>a cotar</t>
        </is>
      </c>
      <c r="D20" t="n">
        <v>1</v>
      </c>
      <c r="E20" s="4" t="n">
        <v>1799</v>
      </c>
      <c r="F20" s="4" t="n">
        <v>1799</v>
      </c>
      <c r="G20" t="inlineStr">
        <is>
          <t>IMPORTADO</t>
        </is>
      </c>
      <c r="H20" t="inlineStr">
        <is>
          <t>sim</t>
        </is>
      </c>
    </row>
    <row r="21">
      <c r="A21" t="inlineStr">
        <is>
          <t>COMPUTAÇÃO</t>
        </is>
      </c>
      <c r="B21" t="inlineStr">
        <is>
          <t>Jetson Orin NX 16 GB (módulo)</t>
        </is>
      </c>
      <c r="C21" t="inlineStr">
        <is>
          <t>Loja do Jangão (BR)</t>
        </is>
      </c>
      <c r="D21" t="n">
        <v>1</v>
      </c>
      <c r="E21" s="4" t="n">
        <v>9899</v>
      </c>
      <c r="F21" s="4" t="n">
        <v>9899</v>
      </c>
      <c r="G21" t="inlineStr">
        <is>
          <t>NACIONAL</t>
        </is>
      </c>
      <c r="H21" t="inlineStr">
        <is>
          <t>sim</t>
        </is>
      </c>
    </row>
    <row r="22">
      <c r="A22" t="inlineStr">
        <is>
          <t>COMPUTAÇÃO</t>
        </is>
      </c>
      <c r="B22" t="inlineStr">
        <is>
          <t>SSD NVMe 1 TB</t>
        </is>
      </c>
      <c r="C22" t="inlineStr">
        <is>
          <t>Mercado Livre / Kabum</t>
        </is>
      </c>
      <c r="D22" t="n">
        <v>1</v>
      </c>
      <c r="E22" s="4" t="n">
        <v>450</v>
      </c>
      <c r="F22" s="4" t="n">
        <v>450</v>
      </c>
      <c r="G22" t="inlineStr">
        <is>
          <t>NACIONAL</t>
        </is>
      </c>
      <c r="H22" t="inlineStr">
        <is>
          <t>sim</t>
        </is>
      </c>
    </row>
    <row r="23">
      <c r="A23" t="inlineStr">
        <is>
          <t>COMPUTAÇÃO</t>
        </is>
      </c>
      <c r="B23" t="inlineStr">
        <is>
          <t>Relé de segurança Pilz PNOZ s4</t>
        </is>
      </c>
      <c r="C23" t="inlineStr">
        <is>
          <t>Logic Control</t>
        </is>
      </c>
      <c r="D23" t="n">
        <v>1</v>
      </c>
      <c r="E23" s="4" t="n">
        <v>1870.96</v>
      </c>
      <c r="F23" s="4" t="n">
        <v>1870.96</v>
      </c>
      <c r="G23" t="inlineStr">
        <is>
          <t>IMPORTADO</t>
        </is>
      </c>
      <c r="H23" t="inlineStr">
        <is>
          <t>sim</t>
        </is>
      </c>
    </row>
    <row r="24">
      <c r="A24" t="inlineStr">
        <is>
          <t>ESTRUTURA</t>
        </is>
      </c>
      <c r="B24" t="inlineStr">
        <is>
          <t>Tubo alumínio quadrado 30×30×2 (barra 6 m)</t>
        </is>
      </c>
      <c r="C24" t="inlineStr">
        <is>
          <t>Mercado Livre</t>
        </is>
      </c>
      <c r="D24" t="n">
        <v>6</v>
      </c>
      <c r="E24" s="4" t="n">
        <v>50</v>
      </c>
      <c r="F24" s="4" t="n">
        <v>300</v>
      </c>
      <c r="G24" t="inlineStr">
        <is>
          <t>NACIONAL</t>
        </is>
      </c>
      <c r="H24" t="inlineStr">
        <is>
          <t>sim</t>
        </is>
      </c>
    </row>
    <row r="25">
      <c r="A25" t="inlineStr">
        <is>
          <t>ESTRUTURA</t>
        </is>
      </c>
      <c r="B25" t="inlineStr">
        <is>
          <t>Tubo alumínio redondo Ø25×2 (3 m)</t>
        </is>
      </c>
      <c r="C25" t="inlineStr">
        <is>
          <t>Mercado Livre</t>
        </is>
      </c>
      <c r="D25" t="n">
        <v>3</v>
      </c>
      <c r="E25" s="4" t="n">
        <v>45</v>
      </c>
      <c r="F25" s="4" t="n">
        <v>135</v>
      </c>
      <c r="G25" t="inlineStr">
        <is>
          <t>NACIONAL</t>
        </is>
      </c>
      <c r="H25" t="inlineStr">
        <is>
          <t>sim</t>
        </is>
      </c>
    </row>
    <row r="26">
      <c r="A26" t="inlineStr">
        <is>
          <t>ESTRUTURA</t>
        </is>
      </c>
      <c r="B26" t="inlineStr">
        <is>
          <t>Chapa alumínio 3 mm (0,6 m²)</t>
        </is>
      </c>
      <c r="C26" t="inlineStr">
        <is>
          <t>Mercado Livre</t>
        </is>
      </c>
      <c r="D26" t="n">
        <v>1</v>
      </c>
      <c r="E26" s="4" t="n">
        <v>280</v>
      </c>
      <c r="F26" s="4" t="n">
        <v>280</v>
      </c>
      <c r="G26" t="inlineStr">
        <is>
          <t>NACIONAL</t>
        </is>
      </c>
      <c r="H26" t="inlineStr">
        <is>
          <t>sim</t>
        </is>
      </c>
    </row>
    <row r="27">
      <c r="A27" t="inlineStr">
        <is>
          <t>ESTRUTURA</t>
        </is>
      </c>
      <c r="B27" t="inlineStr">
        <is>
          <t>Tarugo UHMW-PE</t>
        </is>
      </c>
      <c r="C27" t="inlineStr">
        <is>
          <t>Mercado Livre</t>
        </is>
      </c>
      <c r="D27" t="n">
        <v>1</v>
      </c>
      <c r="E27" s="4" t="n">
        <v>270.01</v>
      </c>
      <c r="F27" s="4" t="n">
        <v>270.01</v>
      </c>
      <c r="G27" t="inlineStr">
        <is>
          <t>NACIONAL</t>
        </is>
      </c>
      <c r="H27" t="inlineStr">
        <is>
          <t>sim</t>
        </is>
      </c>
    </row>
    <row r="28">
      <c r="A28" t="inlineStr">
        <is>
          <t>ESTRUTURA</t>
        </is>
      </c>
      <c r="B28" t="inlineStr">
        <is>
          <t>Parafusos e fixadores inox</t>
        </is>
      </c>
      <c r="C28" t="inlineStr">
        <is>
          <t>Mercado Livre</t>
        </is>
      </c>
      <c r="D28" t="n">
        <v>1</v>
      </c>
      <c r="E28" s="4" t="n">
        <v>300</v>
      </c>
      <c r="F28" s="4" t="n">
        <v>300</v>
      </c>
      <c r="G28" t="inlineStr">
        <is>
          <t>NACIONAL</t>
        </is>
      </c>
      <c r="H28" t="inlineStr">
        <is>
          <t>sim</t>
        </is>
      </c>
    </row>
    <row r="29">
      <c r="A29" t="inlineStr">
        <is>
          <t>ESTRUTURA</t>
        </is>
      </c>
      <c r="B29" t="inlineStr">
        <is>
          <t>Serviço de corte laser + dobra</t>
        </is>
      </c>
      <c r="C29" t="inlineStr">
        <is>
          <t>metalúrgica regional (a cotar)</t>
        </is>
      </c>
      <c r="D29" t="n">
        <v>1</v>
      </c>
      <c r="E29" s="4" t="n">
        <v>800</v>
      </c>
      <c r="F29" s="4" t="n">
        <v>800</v>
      </c>
      <c r="G29" t="inlineStr">
        <is>
          <t>NACIONAL</t>
        </is>
      </c>
      <c r="H29" t="inlineStr">
        <is>
          <t>sim</t>
        </is>
      </c>
    </row>
    <row r="30">
      <c r="A30" t="inlineStr">
        <is>
          <t>ESTRUTURA</t>
        </is>
      </c>
      <c r="B30" t="inlineStr">
        <is>
          <t>Serviço de impressão 3D (carenagens)</t>
        </is>
      </c>
      <c r="C30" t="inlineStr">
        <is>
          <t>serviço regional (a cotar)</t>
        </is>
      </c>
      <c r="D30" t="n">
        <v>1</v>
      </c>
      <c r="E30" s="4" t="n">
        <v>500</v>
      </c>
      <c r="F30" s="4" t="n">
        <v>500</v>
      </c>
      <c r="G30" t="inlineStr">
        <is>
          <t>NACIONAL</t>
        </is>
      </c>
      <c r="H30" t="inlineStr">
        <is>
          <t>sim</t>
        </is>
      </c>
    </row>
    <row r="31">
      <c r="A31" t="inlineStr">
        <is>
          <t>ELÉTRICA</t>
        </is>
      </c>
      <c r="B31" t="inlineStr">
        <is>
          <t>Cabo flexível 10 mm² (25 m)</t>
        </is>
      </c>
      <c r="C31" t="inlineStr">
        <is>
          <t>Casa do Eletricista</t>
        </is>
      </c>
      <c r="D31" t="n">
        <v>25</v>
      </c>
      <c r="E31" s="4" t="n">
        <v>10.4</v>
      </c>
      <c r="F31" s="4" t="n">
        <v>260</v>
      </c>
      <c r="G31" t="inlineStr">
        <is>
          <t>NACIONAL</t>
        </is>
      </c>
      <c r="H31" t="inlineStr">
        <is>
          <t>sim</t>
        </is>
      </c>
    </row>
    <row r="32">
      <c r="A32" t="inlineStr">
        <is>
          <t>ELÉTRICA</t>
        </is>
      </c>
      <c r="B32" t="inlineStr">
        <is>
          <t>Cabo CAN/Ethernet blindado (20 m)</t>
        </is>
      </c>
      <c r="C32" t="inlineStr">
        <is>
          <t>Mercado Livre</t>
        </is>
      </c>
      <c r="D32" t="n">
        <v>20</v>
      </c>
      <c r="E32" s="4" t="n">
        <v>12</v>
      </c>
      <c r="F32" s="4" t="n">
        <v>240</v>
      </c>
      <c r="G32" t="inlineStr">
        <is>
          <t>NACIONAL</t>
        </is>
      </c>
      <c r="H32" t="inlineStr">
        <is>
          <t>sim</t>
        </is>
      </c>
    </row>
    <row r="33">
      <c r="A33" t="inlineStr">
        <is>
          <t>ELÉTRICA</t>
        </is>
      </c>
      <c r="B33" t="inlineStr">
        <is>
          <t>Conectores Anderson SB50 (kit)</t>
        </is>
      </c>
      <c r="C33" t="inlineStr">
        <is>
          <t>Mercado Livre</t>
        </is>
      </c>
      <c r="D33" t="n">
        <v>1</v>
      </c>
      <c r="E33" s="4" t="n">
        <v>180</v>
      </c>
      <c r="F33" s="4" t="n">
        <v>180</v>
      </c>
      <c r="G33" t="inlineStr">
        <is>
          <t>NACIONAL</t>
        </is>
      </c>
      <c r="H33" t="inlineStr">
        <is>
          <t>sim</t>
        </is>
      </c>
    </row>
    <row r="34">
      <c r="A34" t="inlineStr">
        <is>
          <t>ELÉTRICA</t>
        </is>
      </c>
      <c r="B34" t="inlineStr">
        <is>
          <t>Conectores M12 industriais (kit)</t>
        </is>
      </c>
      <c r="C34" t="inlineStr">
        <is>
          <t>Mercado Livre</t>
        </is>
      </c>
      <c r="D34" t="n">
        <v>1</v>
      </c>
      <c r="E34" s="4" t="n">
        <v>400</v>
      </c>
      <c r="F34" s="4" t="n">
        <v>400</v>
      </c>
      <c r="G34" t="inlineStr">
        <is>
          <t>NACIONAL</t>
        </is>
      </c>
      <c r="H34" t="inlineStr">
        <is>
          <t>sim</t>
        </is>
      </c>
    </row>
    <row r="35">
      <c r="A35" t="inlineStr">
        <is>
          <t>ELÉTRICA</t>
        </is>
      </c>
      <c r="B35" t="inlineStr">
        <is>
          <t>Gabinete IP65 policarbonato</t>
        </is>
      </c>
      <c r="C35" t="inlineStr">
        <is>
          <t>Mercado Livre</t>
        </is>
      </c>
      <c r="D35" t="n">
        <v>1</v>
      </c>
      <c r="E35" s="4" t="n">
        <v>400</v>
      </c>
      <c r="F35" s="4" t="n">
        <v>400</v>
      </c>
      <c r="G35" t="inlineStr">
        <is>
          <t>NACIONAL</t>
        </is>
      </c>
      <c r="H35" t="inlineStr">
        <is>
          <t>sim</t>
        </is>
      </c>
    </row>
    <row r="36">
      <c r="A36" t="inlineStr">
        <is>
          <t>ELÉTRICA</t>
        </is>
      </c>
      <c r="B36" t="inlineStr">
        <is>
          <t>Iluminação LED 12 V (conjunto)</t>
        </is>
      </c>
      <c r="C36" t="inlineStr">
        <is>
          <t>Mercado Livre</t>
        </is>
      </c>
      <c r="D36" t="n">
        <v>1</v>
      </c>
      <c r="E36" s="4" t="n">
        <v>250</v>
      </c>
      <c r="F36" s="4" t="n">
        <v>250</v>
      </c>
      <c r="G36" t="inlineStr">
        <is>
          <t>NACIONAL</t>
        </is>
      </c>
      <c r="H36" t="inlineStr">
        <is>
          <t>sim</t>
        </is>
      </c>
    </row>
    <row r="38">
      <c r="A38" s="5" t="inlineStr">
        <is>
          <t>Subtotal nacional</t>
        </is>
      </c>
      <c r="B38" t="inlineStr"/>
      <c r="C38" t="inlineStr"/>
      <c r="D38" t="inlineStr"/>
      <c r="E38" t="inlineStr"/>
      <c r="F38" s="6" t="n">
        <v>26929.16</v>
      </c>
      <c r="G38" t="inlineStr"/>
      <c r="H38" t="inlineStr"/>
    </row>
    <row r="39">
      <c r="A39" s="5" t="inlineStr">
        <is>
          <t>Subtotal importado (produto)</t>
        </is>
      </c>
      <c r="B39" t="inlineStr"/>
      <c r="C39" t="inlineStr"/>
      <c r="D39" t="inlineStr"/>
      <c r="E39" t="inlineStr"/>
      <c r="F39" s="6" t="n">
        <v>67066.12</v>
      </c>
      <c r="G39" t="inlineStr"/>
      <c r="H39" t="inlineStr"/>
    </row>
    <row r="40">
      <c r="A40" s="5" t="inlineStr">
        <is>
          <t>Total dos produtos</t>
        </is>
      </c>
      <c r="B40" t="inlineStr"/>
      <c r="C40" t="inlineStr"/>
      <c r="D40" t="inlineStr"/>
      <c r="E40" t="inlineStr"/>
      <c r="F40" s="6" t="n">
        <v>93995.28</v>
      </c>
      <c r="G40" t="inlineStr"/>
      <c r="H40" t="inlineStr"/>
    </row>
    <row r="41">
      <c r="A41" s="5" t="inlineStr">
        <is>
          <t>Importado com impostos e frete (×2,0)</t>
        </is>
      </c>
      <c r="B41" t="inlineStr"/>
      <c r="C41" t="inlineStr"/>
      <c r="D41" t="inlineStr"/>
      <c r="E41" t="inlineStr"/>
      <c r="F41" s="6" t="n">
        <v>134132.24</v>
      </c>
      <c r="G41" t="inlineStr"/>
      <c r="H41" t="inlineStr"/>
    </row>
    <row r="42">
      <c r="A42" s="5" t="inlineStr">
        <is>
          <t>TOTAL POSTO EM POUSO ALEGRE</t>
        </is>
      </c>
      <c r="B42" t="inlineStr"/>
      <c r="C42" t="inlineStr"/>
      <c r="D42" t="inlineStr"/>
      <c r="E42" t="inlineStr"/>
      <c r="F42" s="6" t="n">
        <v>161061.4</v>
      </c>
      <c r="G42" t="inlineStr"/>
      <c r="H42" t="inlineStr"/>
    </row>
    <row r="44">
      <c r="A44" s="22" t="inlineStr">
        <is>
          <t>Cenário</t>
        </is>
      </c>
      <c r="B44" s="22" t="inlineStr">
        <is>
          <t>Produtos (R$)</t>
        </is>
      </c>
      <c r="C44" s="22" t="inlineStr">
        <is>
          <t>Posto em Pouso Alegre (R$)</t>
        </is>
      </c>
    </row>
    <row r="45">
      <c r="A45" t="inlineStr">
        <is>
          <t>MÍNIMO (alternativas baratas: VESC, BMI088, célula 100 Ah)</t>
        </is>
      </c>
      <c r="B45" s="4" t="n">
        <v>53069.54</v>
      </c>
      <c r="C45" s="4" t="n">
        <v>83249.28999999999</v>
      </c>
    </row>
    <row r="46">
      <c r="A46" t="inlineStr">
        <is>
          <t>PROVÁVEL (configuração recomendada da planilha)</t>
        </is>
      </c>
      <c r="B46" s="4" t="n">
        <v>93995.28</v>
      </c>
      <c r="C46" s="4" t="n">
        <v>161061.4</v>
      </c>
    </row>
    <row r="47">
      <c r="A47" t="inlineStr">
        <is>
          <t>MÁXIMO (ElectroCraft com freio, reComputer, Jetson kit)</t>
        </is>
      </c>
      <c r="B47" s="4" t="n">
        <v>130907.32</v>
      </c>
      <c r="C47" s="4" t="n">
        <v>228153.2</v>
      </c>
    </row>
    <row r="49">
      <c r="A49" s="23" t="inlineStr">
        <is>
          <t>O multiplicador de 2,0× para importação (II + IPI + PIS/COFINS + ICMS + frete) é estimativa da planilha de origem — confirmar com despachante.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46" customWidth="1" min="4" max="4"/>
    <col width="52" customWidth="1" min="5" max="5"/>
  </cols>
  <sheetData>
    <row r="1">
      <c r="A1" s="24" t="inlineStr">
        <is>
          <t>Conciliação entre a BOM de compras e o projeto mecânico (caderno VTX-RV3-CG-F)</t>
        </is>
      </c>
    </row>
    <row r="2">
      <c r="A2" s="2" t="inlineStr">
        <is>
          <t>Nada aqui é opinião de preço: é comparação entre o que a planilha compra e o que o desenho exige.</t>
        </is>
      </c>
    </row>
    <row r="4">
      <c r="A4" s="8" t="inlineStr">
        <is>
          <t>Gravidade</t>
        </is>
      </c>
      <c r="B4" s="8" t="inlineStr">
        <is>
          <t>Assunto</t>
        </is>
      </c>
      <c r="C4" s="8" t="inlineStr">
        <is>
          <t>O que a BOM de compras diz</t>
        </is>
      </c>
      <c r="D4" s="8" t="inlineStr">
        <is>
          <t>O que o projeto exige</t>
        </is>
      </c>
      <c r="E4" s="8" t="inlineStr">
        <is>
          <t>Consequência</t>
        </is>
      </c>
    </row>
    <row r="5">
      <c r="A5" s="19" t="inlineStr">
        <is>
          <t>CRÍTICA</t>
        </is>
      </c>
      <c r="B5" s="25" t="inlineStr">
        <is>
          <t>Motor-roda</t>
        </is>
      </c>
      <c r="C5" s="25" t="inlineStr">
        <is>
          <t>Recomenda ZLTECH ZLLG80ASM800 a R$ 2.215/un; a página do fabricante mostra R$ 1.133,68 (R$ 1.028,22 acima de 200 peças) — a BOM paga R$ 4.326,64 a mais no conjunto</t>
        </is>
      </c>
      <c r="D5" s="25" t="inlineStr">
        <is>
          <t>Todo o suporte S-01/S-02/S-03, a furação Ø88 + 7 × M4 no PCD 95, a face Ø105,7, a bitola de 470 e o vão livre foram dimensionados para o MPW86</t>
        </is>
      </c>
      <c r="E5" s="25" t="inlineStr">
        <is>
          <t>Economiza R$ 21.165 com o preço real, mas invalida a folha 07 e a interface do chassi. A montagem é por eixo (não flange): a S-02 perde o bore Ø88 e os 7 furos. Ver folha 27.</t>
        </is>
      </c>
    </row>
    <row r="6">
      <c r="A6" s="19" t="inlineStr">
        <is>
          <t>CRÍTICA</t>
        </is>
      </c>
      <c r="B6" s="25" t="inlineStr">
        <is>
          <t>Freio</t>
        </is>
      </c>
      <c r="C6" s="25" t="inlineStr">
        <is>
          <t>O freio eletromagnético (EMB) do ZLTECH é opcional de fábrica e não está pedido na planilha; o relé Pilz PNOZ s4 cobre a lógica de parada, não o freio</t>
        </is>
      </c>
      <c r="D6" s="25" t="inlineStr">
        <is>
          <t>A baseline exige freio aplicado por mola, com 15 a 30 N·m por roda para segurar em rampa de 30°</t>
        </is>
      </c>
      <c r="E6" s="25" t="inlineStr">
        <is>
          <t>Sem freio mecânico, o rover não pode estacionar em declive. É requisito de segurança, não de conforto.</t>
        </is>
      </c>
    </row>
    <row r="7">
      <c r="A7" s="26" t="inlineStr">
        <is>
          <t>ALTA</t>
        </is>
      </c>
      <c r="B7" s="25" t="inlineStr">
        <is>
          <t>Estrutura — cobertura errada, não valor errado</t>
        </is>
      </c>
      <c r="C7" s="25" t="inlineStr">
        <is>
          <t>R$ 2.585 no total, com 4 linhas de material e 2 de serviço</t>
        </is>
      </c>
      <c r="D7" s="25" t="inlineStr">
        <is>
          <t>Material completo (8 perfis + 11 espessuras) custa cerca de R$ 1.176 pela própria base de preço da BOM — mesma ordem de grandeza do que ela já reserva</t>
        </is>
      </c>
      <c r="E7" s="25" t="inlineStr">
        <is>
          <t>A BOM compra 6 barras de tubo 30×30 onde bastam 2, e esse excesso mascara a falta dos outros perfis e chapas. Corrigir a lista quase não muda o total do material.</t>
        </is>
      </c>
    </row>
    <row r="8">
      <c r="A8" s="19" t="inlineStr">
        <is>
          <t>CRÍTICA</t>
        </is>
      </c>
      <c r="B8" s="25" t="inlineStr">
        <is>
          <t>Serviços de fabricação não cotados</t>
        </is>
      </c>
      <c r="C8" s="25" t="inlineStr">
        <is>
          <t>Apenas "corte laser + dobra R$ 800" e "impressão 3D R$ 500"</t>
        </is>
      </c>
      <c r="D8" s="25" t="inlineStr">
        <is>
          <t>52,9 m de corte a laser (433 furos) · 13,6 m de cordão TIG · 24 peças usinadas · 4,66 m² de tratamento de superfície · 176 porcas-rebite · 3 gabaritos · inspeção dimensional</t>
        </is>
      </c>
      <c r="E8" s="25" t="inlineStr">
        <is>
          <t>É aqui que está o buraco do orçamento, não no material. Pedir preço por metro de corte e por metro de cordão deixa as propostas comparáveis.</t>
        </is>
      </c>
    </row>
    <row r="9">
      <c r="A9" s="27" t="inlineStr">
        <is>
          <t>MÉDIA</t>
        </is>
      </c>
      <c r="B9" s="25" t="inlineStr">
        <is>
          <t>Carenagens por impressão 3D</t>
        </is>
      </c>
      <c r="C9" s="25" t="inlineStr">
        <is>
          <t>Linha de R$ 500 para "impressão 3D das carenagens"</t>
        </is>
      </c>
      <c r="D9" s="25" t="inlineStr">
        <is>
          <t>As carenagens K-01 a K-06 são chapa de alumínio 5052 (2 e 1,2 mm), cortadas a laser</t>
        </is>
      </c>
      <c r="E9" s="25" t="inlineStr">
        <is>
          <t>Ou a linha se refere às carenagens anti-galho N-09 (UHMW-PE), ou há divergência de conceito.</t>
        </is>
      </c>
    </row>
    <row r="10">
      <c r="A10" s="27" t="inlineStr">
        <is>
          <t>MÉDIA</t>
        </is>
      </c>
      <c r="B10" s="25" t="inlineStr">
        <is>
          <t>Célula de bateria</t>
        </is>
      </c>
      <c r="C10" s="25" t="inlineStr">
        <is>
          <t>Célula EVE 105 Ah (R$ 582/un)</t>
        </is>
      </c>
      <c r="D10" s="25" t="inlineStr">
        <is>
          <t>Baseline usa EVE LF100LA, 100 Ah, 36,5 kg no conjunto</t>
        </is>
      </c>
      <c r="E10" s="25" t="inlineStr">
        <is>
          <t>Muda massa e dimensão da caixa — que já é pendência. Reconferir o CG depois de definir.</t>
        </is>
      </c>
    </row>
    <row r="11">
      <c r="A11" s="28" t="inlineStr">
        <is>
          <t>BAIXA</t>
        </is>
      </c>
      <c r="B11" s="25" t="inlineStr">
        <is>
          <t>Compra de tubo 30×30×2</t>
        </is>
      </c>
      <c r="C11" s="25" t="inlineStr">
        <is>
          <t>6 barras de 6 m (36 m) por R$ 50 a barra</t>
        </is>
      </c>
      <c r="D11" s="25" t="inlineStr">
        <is>
          <t>O projeto consome 8,94 m — 2 barras bastam</t>
        </is>
      </c>
      <c r="E11" s="25" t="inlineStr">
        <is>
          <t>Sobra de 27 m. Verificar também o preço: R$ 50 por barra de 6 m de alumínio está abaixo da ordem de grandeza do mercado (a própria planilha cota um tarugo de UHMW-PE por R$ 270).</t>
        </is>
      </c>
    </row>
    <row r="12">
      <c r="A12" s="28" t="inlineStr">
        <is>
          <t>BAIXA</t>
        </is>
      </c>
      <c r="B12" s="25" t="inlineStr">
        <is>
          <t>E-STOP</t>
        </is>
      </c>
      <c r="C12" s="25" t="inlineStr">
        <is>
          <t>E-STOP remoto sem fio (R$ 1.799) + relé Pilz</t>
        </is>
      </c>
      <c r="D12" s="25" t="inlineStr">
        <is>
          <t>O caderno desenha o botão Ø22 físico na tampa traseira (E-10/E-11), que a baseline exige</t>
        </is>
      </c>
      <c r="E12" s="25" t="inlineStr">
        <is>
          <t>Os dois se somam: o botão físico é requisito da baseline, o remoto é adicional.</t>
        </is>
      </c>
    </row>
    <row r="14">
      <c r="A14" s="29" t="inlineStr">
        <is>
          <t>MATERIAL E SERVIÇO QUE O PROJETO EXIGE E A BOM NÃO COBRE</t>
        </is>
      </c>
    </row>
    <row r="15">
      <c r="A15" s="22" t="inlineStr">
        <is>
          <t>Tipo</t>
        </is>
      </c>
      <c r="B15" s="22" t="inlineStr">
        <is>
          <t>Item</t>
        </is>
      </c>
      <c r="C15" s="22" t="inlineStr">
        <is>
          <t>Quantidade do projeto</t>
        </is>
      </c>
      <c r="D15" s="22" t="inlineStr">
        <is>
          <t>Situação na BOM</t>
        </is>
      </c>
      <c r="E15" s="22" t="inlineStr">
        <is>
          <t>Observação</t>
        </is>
      </c>
    </row>
    <row r="16">
      <c r="A16" t="inlineStr">
        <is>
          <t>Perfil</t>
        </is>
      </c>
      <c r="B16" t="inlineStr">
        <is>
          <t>Barra Ø8 × 170</t>
        </is>
      </c>
      <c r="C16" t="inlineStr">
        <is>
          <t>0,32 m</t>
        </is>
      </c>
      <c r="D16" s="19" t="inlineStr">
        <is>
          <t>FALTA</t>
        </is>
      </c>
      <c r="E16" s="17" t="inlineStr"/>
    </row>
    <row r="17">
      <c r="A17" t="inlineStr">
        <is>
          <t>Perfil</t>
        </is>
      </c>
      <c r="B17" t="inlineStr">
        <is>
          <t>Cantoneira 40×40×4 × 150</t>
        </is>
      </c>
      <c r="C17" t="inlineStr">
        <is>
          <t>0,60 m</t>
        </is>
      </c>
      <c r="D17" s="19" t="inlineStr">
        <is>
          <t>FALTA</t>
        </is>
      </c>
      <c r="E17" s="17" t="inlineStr"/>
    </row>
    <row r="18">
      <c r="A18" t="inlineStr">
        <is>
          <t>Perfil</t>
        </is>
      </c>
      <c r="B18" t="inlineStr">
        <is>
          <t>Cantoneira 40×40×4 × 592</t>
        </is>
      </c>
      <c r="C18" t="inlineStr">
        <is>
          <t>1,18 m</t>
        </is>
      </c>
      <c r="D18" s="19" t="inlineStr">
        <is>
          <t>FALTA</t>
        </is>
      </c>
      <c r="E18" s="17" t="inlineStr"/>
    </row>
    <row r="19">
      <c r="A19" t="inlineStr">
        <is>
          <t>Perfil</t>
        </is>
      </c>
      <c r="B19" t="inlineStr">
        <is>
          <t>Tubo quadrado 20×20×1,5</t>
        </is>
      </c>
      <c r="C19" t="inlineStr">
        <is>
          <t>6,82 m</t>
        </is>
      </c>
      <c r="D19" s="19" t="inlineStr">
        <is>
          <t>FALTA</t>
        </is>
      </c>
      <c r="E19" s="17" t="inlineStr"/>
    </row>
    <row r="20">
      <c r="A20" t="inlineStr">
        <is>
          <t>Perfil</t>
        </is>
      </c>
      <c r="B20" t="inlineStr">
        <is>
          <t>Tubo quadrado 30×30×2</t>
        </is>
      </c>
      <c r="C20" t="inlineStr">
        <is>
          <t>8,94 m</t>
        </is>
      </c>
      <c r="D20" t="inlineStr">
        <is>
          <t>coberto</t>
        </is>
      </c>
      <c r="E20" s="17" t="inlineStr">
        <is>
          <t>Conferir quantidade: a BOM compra bem mais que o necessário</t>
        </is>
      </c>
    </row>
    <row r="21">
      <c r="A21" t="inlineStr">
        <is>
          <t>Perfil</t>
        </is>
      </c>
      <c r="B21" t="inlineStr">
        <is>
          <t>Tubo Ø25×2 × 1436</t>
        </is>
      </c>
      <c r="C21" t="inlineStr">
        <is>
          <t>2,87 m</t>
        </is>
      </c>
      <c r="D21" t="inlineStr">
        <is>
          <t>coberto</t>
        </is>
      </c>
      <c r="E21" s="17" t="inlineStr">
        <is>
          <t>Conferir quantidade: a BOM compra bem mais que o necessário</t>
        </is>
      </c>
    </row>
    <row r="22">
      <c r="A22" t="inlineStr">
        <is>
          <t>Perfil</t>
        </is>
      </c>
      <c r="B22" t="inlineStr">
        <is>
          <t>Tubo Ø29/Ø25</t>
        </is>
      </c>
      <c r="C22" t="inlineStr">
        <is>
          <t>2,17 m</t>
        </is>
      </c>
      <c r="D22" s="19" t="inlineStr">
        <is>
          <t>FALTA</t>
        </is>
      </c>
      <c r="E22" s="17" t="inlineStr"/>
    </row>
    <row r="23">
      <c r="A23" t="inlineStr">
        <is>
          <t>Perfil</t>
        </is>
      </c>
      <c r="B23" t="inlineStr">
        <is>
          <t>Tubo Ø34×4,5 × 180</t>
        </is>
      </c>
      <c r="C23" t="inlineStr">
        <is>
          <t>0,36 m</t>
        </is>
      </c>
      <c r="D23" s="19" t="inlineStr">
        <is>
          <t>FALTA</t>
        </is>
      </c>
      <c r="E23" s="17" t="inlineStr"/>
    </row>
    <row r="24">
      <c r="A24" t="inlineStr">
        <is>
          <t>Chapa</t>
        </is>
      </c>
      <c r="B24" t="inlineStr">
        <is>
          <t>Al 5052-H32 · 1,2 mm</t>
        </is>
      </c>
      <c r="C24" t="inlineStr">
        <is>
          <t>0,650 m²</t>
        </is>
      </c>
      <c r="D24" s="19" t="inlineStr">
        <is>
          <t>FALTA</t>
        </is>
      </c>
      <c r="E24" s="17" t="inlineStr"/>
    </row>
    <row r="25">
      <c r="A25" t="inlineStr">
        <is>
          <t>Chapa</t>
        </is>
      </c>
      <c r="B25" t="inlineStr">
        <is>
          <t>Al 5052-H32 · 2 mm</t>
        </is>
      </c>
      <c r="C25" t="inlineStr">
        <is>
          <t>1,222 m²</t>
        </is>
      </c>
      <c r="D25" s="19" t="inlineStr">
        <is>
          <t>FALTA</t>
        </is>
      </c>
      <c r="E25" s="17" t="inlineStr"/>
    </row>
    <row r="26">
      <c r="A26" t="inlineStr">
        <is>
          <t>Chapa</t>
        </is>
      </c>
      <c r="B26" t="inlineStr">
        <is>
          <t>Al 6061-T6 · 1,5 mm</t>
        </is>
      </c>
      <c r="C26" t="inlineStr">
        <is>
          <t>0,003 m²</t>
        </is>
      </c>
      <c r="D26" s="19" t="inlineStr">
        <is>
          <t>FALTA</t>
        </is>
      </c>
      <c r="E26" s="17" t="inlineStr"/>
    </row>
    <row r="27">
      <c r="A27" t="inlineStr">
        <is>
          <t>Chapa</t>
        </is>
      </c>
      <c r="B27" t="inlineStr">
        <is>
          <t>Al 6061-T6 · 10 mm</t>
        </is>
      </c>
      <c r="C27" t="inlineStr">
        <is>
          <t>0,101 m²</t>
        </is>
      </c>
      <c r="D27" s="19" t="inlineStr">
        <is>
          <t>FALTA</t>
        </is>
      </c>
      <c r="E27" s="17" t="inlineStr"/>
    </row>
    <row r="28">
      <c r="A28" t="inlineStr">
        <is>
          <t>Chapa</t>
        </is>
      </c>
      <c r="B28" t="inlineStr">
        <is>
          <t>Al 6061-T6 · 2 mm</t>
        </is>
      </c>
      <c r="C28" t="inlineStr">
        <is>
          <t>0,007 m²</t>
        </is>
      </c>
      <c r="D28" s="19" t="inlineStr">
        <is>
          <t>FALTA</t>
        </is>
      </c>
      <c r="E28" s="17" t="inlineStr"/>
    </row>
    <row r="29">
      <c r="A29" t="inlineStr">
        <is>
          <t>Chapa</t>
        </is>
      </c>
      <c r="B29" t="inlineStr">
        <is>
          <t>Al 6061-T6 · 3 mm</t>
        </is>
      </c>
      <c r="C29" t="inlineStr">
        <is>
          <t>0,051 m²</t>
        </is>
      </c>
      <c r="D29" t="inlineStr">
        <is>
          <t>coberto</t>
        </is>
      </c>
      <c r="E29" s="17" t="inlineStr"/>
    </row>
    <row r="30">
      <c r="A30" t="inlineStr">
        <is>
          <t>Chapa</t>
        </is>
      </c>
      <c r="B30" t="inlineStr">
        <is>
          <t>Al 6061-T6 · 4 mm</t>
        </is>
      </c>
      <c r="C30" t="inlineStr">
        <is>
          <t>0,008 m²</t>
        </is>
      </c>
      <c r="D30" s="19" t="inlineStr">
        <is>
          <t>FALTA</t>
        </is>
      </c>
      <c r="E30" s="17" t="inlineStr"/>
    </row>
    <row r="31">
      <c r="A31" t="inlineStr">
        <is>
          <t>Chapa</t>
        </is>
      </c>
      <c r="B31" t="inlineStr">
        <is>
          <t>Al 6061-T6 · 5 mm</t>
        </is>
      </c>
      <c r="C31" t="inlineStr">
        <is>
          <t>0,026 m²</t>
        </is>
      </c>
      <c r="D31" s="19" t="inlineStr">
        <is>
          <t>FALTA</t>
        </is>
      </c>
      <c r="E31" s="17" t="inlineStr"/>
    </row>
    <row r="32">
      <c r="A32" t="inlineStr">
        <is>
          <t>Chapa</t>
        </is>
      </c>
      <c r="B32" t="inlineStr">
        <is>
          <t>Al 6061-T6 · 6 mm</t>
        </is>
      </c>
      <c r="C32" t="inlineStr">
        <is>
          <t>0,154 m²</t>
        </is>
      </c>
      <c r="D32" s="19" t="inlineStr">
        <is>
          <t>FALTA</t>
        </is>
      </c>
      <c r="E32" s="17" t="inlineStr"/>
    </row>
    <row r="33">
      <c r="A33" t="inlineStr">
        <is>
          <t>Chapa</t>
        </is>
      </c>
      <c r="B33" t="inlineStr">
        <is>
          <t>Al 6061-T6 · 8 mm</t>
        </is>
      </c>
      <c r="C33" t="inlineStr">
        <is>
          <t>0,062 m²</t>
        </is>
      </c>
      <c r="D33" s="19" t="inlineStr">
        <is>
          <t>FALTA</t>
        </is>
      </c>
      <c r="E33" s="17" t="inlineStr"/>
    </row>
    <row r="34">
      <c r="A34" t="inlineStr">
        <is>
          <t>Chapa</t>
        </is>
      </c>
      <c r="B34" t="inlineStr">
        <is>
          <t>Policarbonato · 3 mm</t>
        </is>
      </c>
      <c r="C34" t="inlineStr">
        <is>
          <t>0,020 m²</t>
        </is>
      </c>
      <c r="D34" s="19" t="inlineStr">
        <is>
          <t>FALTA</t>
        </is>
      </c>
      <c r="E34" s="17" t="inlineStr"/>
    </row>
    <row r="35">
      <c r="A35" t="inlineStr">
        <is>
          <t>Serviço/insumo</t>
        </is>
      </c>
      <c r="B35" t="inlineStr">
        <is>
          <t>Usinagem da face de montagem do MPW86 (4 peças)</t>
        </is>
      </c>
      <c r="C35" t="inlineStr">
        <is>
          <t>1 conjunto</t>
        </is>
      </c>
      <c r="D35" s="19" t="inlineStr">
        <is>
          <t>FALTA</t>
        </is>
      </c>
      <c r="E35" s="17" t="inlineStr">
        <is>
          <t>Ra 3,2 · planicidade 0,1 · após solda</t>
        </is>
      </c>
    </row>
    <row r="36">
      <c r="A36" t="inlineStr">
        <is>
          <t>Serviço/insumo</t>
        </is>
      </c>
      <c r="B36" t="inlineStr">
        <is>
          <t>Usinagem de buchas Q-05 e espaçadores N-03 (20 peças)</t>
        </is>
      </c>
      <c r="C36" t="inlineStr">
        <is>
          <t>1 conjunto</t>
        </is>
      </c>
      <c r="D36" s="19" t="inlineStr">
        <is>
          <t>FALTA</t>
        </is>
      </c>
      <c r="E36" s="17" t="inlineStr">
        <is>
          <t>Torno</t>
        </is>
      </c>
    </row>
    <row r="37">
      <c r="A37" t="inlineStr">
        <is>
          <t>Serviço/insumo</t>
        </is>
      </c>
      <c r="B37" t="inlineStr">
        <is>
          <t>Soldagem TIG — quadro</t>
        </is>
      </c>
      <c r="C37" t="inlineStr">
        <is>
          <t>1 conjunto</t>
        </is>
      </c>
      <c r="D37" s="19" t="inlineStr">
        <is>
          <t>FALTA</t>
        </is>
      </c>
      <c r="E37" s="17" t="inlineStr">
        <is>
          <t>ER5356, filete a2, em gabarito</t>
        </is>
      </c>
    </row>
    <row r="38">
      <c r="A38" t="inlineStr">
        <is>
          <t>Serviço/insumo</t>
        </is>
      </c>
      <c r="B38" t="inlineStr">
        <is>
          <t>Soldagem TIG — 4 suportes do motor-roda</t>
        </is>
      </c>
      <c r="C38" t="inlineStr">
        <is>
          <t>1 conjunto</t>
        </is>
      </c>
      <c r="D38" s="19" t="inlineStr">
        <is>
          <t>FALTA</t>
        </is>
      </c>
      <c r="E38" s="17" t="inlineStr">
        <is>
          <t>Filete a3</t>
        </is>
      </c>
    </row>
    <row r="39">
      <c r="A39" t="inlineStr">
        <is>
          <t>Serviço/insumo</t>
        </is>
      </c>
      <c r="B39" t="inlineStr">
        <is>
          <t>Soldagem TIG — 2 módulos da gaiola</t>
        </is>
      </c>
      <c r="C39" t="inlineStr">
        <is>
          <t>1 conjunto</t>
        </is>
      </c>
      <c r="D39" s="19" t="inlineStr">
        <is>
          <t>FALTA</t>
        </is>
      </c>
      <c r="E39" s="17" t="inlineStr">
        <is>
          <t>Filete a2</t>
        </is>
      </c>
    </row>
    <row r="40">
      <c r="A40" t="inlineStr">
        <is>
          <t>Serviço/insumo</t>
        </is>
      </c>
      <c r="B40" t="inlineStr">
        <is>
          <t>Gabaritos de soldagem</t>
        </is>
      </c>
      <c r="C40" t="inlineStr">
        <is>
          <t>1 conjunto</t>
        </is>
      </c>
      <c r="D40" s="19" t="inlineStr">
        <is>
          <t>FALTA</t>
        </is>
      </c>
      <c r="E40" s="17" t="inlineStr">
        <is>
          <t>Custo único</t>
        </is>
      </c>
    </row>
    <row r="41">
      <c r="A41" t="inlineStr">
        <is>
          <t>Serviço/insumo</t>
        </is>
      </c>
      <c r="B41" t="inlineStr">
        <is>
          <t>Tratamento de superfície (anodização ou pintura)</t>
        </is>
      </c>
      <c r="C41" t="inlineStr">
        <is>
          <t>1 conjunto</t>
        </is>
      </c>
      <c r="D41" s="19" t="inlineStr">
        <is>
          <t>FALTA</t>
        </is>
      </c>
      <c r="E41" s="17" t="inlineStr">
        <is>
          <t>3 opções no pacote</t>
        </is>
      </c>
    </row>
    <row r="42">
      <c r="A42" t="inlineStr">
        <is>
          <t>Serviço/insumo</t>
        </is>
      </c>
      <c r="B42" t="inlineStr">
        <is>
          <t>Instalação de 176 porcas-rebite</t>
        </is>
      </c>
      <c r="C42" t="inlineStr">
        <is>
          <t>1 conjunto</t>
        </is>
      </c>
      <c r="D42" s="19" t="inlineStr">
        <is>
          <t>FALTA</t>
        </is>
      </c>
      <c r="E42" s="17" t="inlineStr">
        <is>
          <t>Depois do acabamento</t>
        </is>
      </c>
    </row>
    <row r="43">
      <c r="A43" t="inlineStr">
        <is>
          <t>Serviço/insumo</t>
        </is>
      </c>
      <c r="B43" t="inlineStr">
        <is>
          <t>Inspeção dimensional das 9 cotas críticas</t>
        </is>
      </c>
      <c r="C43" t="inlineStr">
        <is>
          <t>1 conjunto</t>
        </is>
      </c>
      <c r="D43" s="19" t="inlineStr">
        <is>
          <t>FALTA</t>
        </is>
      </c>
      <c r="E43" s="17" t="inlineStr">
        <is>
          <t>Entregável obrigatório</t>
        </is>
      </c>
    </row>
    <row r="44">
      <c r="A44" t="inlineStr">
        <is>
          <t>Serviço/insumo</t>
        </is>
      </c>
      <c r="B44" t="inlineStr">
        <is>
          <t>Fixadores: 740 peças em 23 códigos inox A4</t>
        </is>
      </c>
      <c r="C44" t="inlineStr">
        <is>
          <t>1 conjunto</t>
        </is>
      </c>
      <c r="D44" s="19" t="inlineStr">
        <is>
          <t>FALTA</t>
        </is>
      </c>
      <c r="E44" s="17" t="inlineStr">
        <is>
          <t>A BOM tem uma linha única de R$ 300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2026-10-11T04:05:31Z</dcterms:created>
  <dcterms:modified xmlns:dcterms="http://purl.org/dc/terms/" xmlns:xsi="http://www.w3.org/2001/XMLSchema-instance" xsi:type="dcterms:W3CDTF">2026-10-11T04:05:32Z</dcterms:modified>
</cp:coreProperties>
</file>